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banma\OneDrive - POLYSTYLEX SIA\Documents\GITHUB\Diagnostyka Plus\"/>
    </mc:Choice>
  </mc:AlternateContent>
  <xr:revisionPtr revIDLastSave="0" documentId="13_ncr:1_{2F41BA72-11FA-40ED-9BBC-61015F014FD5}" xr6:coauthVersionLast="47" xr6:coauthVersionMax="47" xr10:uidLastSave="{00000000-0000-0000-0000-000000000000}"/>
  <bookViews>
    <workbookView xWindow="-108" yWindow="-108" windowWidth="23256" windowHeight="12456" tabRatio="500" firstSheet="1" activeTab="5" xr2:uid="{00000000-000D-0000-FFFF-FFFF00000000}"/>
  </bookViews>
  <sheets>
    <sheet name="RAW_DATA" sheetId="1" r:id="rId1"/>
    <sheet name="CALCULATIONS" sheetId="2" r:id="rId2"/>
    <sheet name="COSTS_ANALYSIS" sheetId="3" r:id="rId3"/>
    <sheet name="DASHBOARD" sheetId="4" r:id="rId4"/>
    <sheet name="FLAGS" sheetId="5" r:id="rId5"/>
    <sheet name="PE_MODEL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50" i="6" l="1"/>
  <c r="B48" i="6"/>
  <c r="B43" i="6"/>
  <c r="B41" i="6"/>
  <c r="B32" i="6"/>
  <c r="B24" i="6"/>
  <c r="C21" i="6"/>
  <c r="C32" i="6" s="1"/>
  <c r="B21" i="6"/>
  <c r="B17" i="5"/>
  <c r="D14" i="5"/>
  <c r="D7" i="5"/>
  <c r="D6" i="5"/>
  <c r="B5" i="5"/>
  <c r="C28" i="4"/>
  <c r="B22" i="4"/>
  <c r="D22" i="4" s="1"/>
  <c r="B21" i="4"/>
  <c r="C17" i="4"/>
  <c r="C16" i="4"/>
  <c r="C12" i="4"/>
  <c r="B12" i="4"/>
  <c r="D12" i="4" s="1"/>
  <c r="C8" i="4"/>
  <c r="D6" i="4"/>
  <c r="C6" i="4"/>
  <c r="B6" i="4"/>
  <c r="F13" i="3"/>
  <c r="D13" i="3"/>
  <c r="C13" i="3"/>
  <c r="B13" i="3"/>
  <c r="F11" i="3"/>
  <c r="C11" i="3"/>
  <c r="E11" i="3" s="1"/>
  <c r="B11" i="3"/>
  <c r="D11" i="3" s="1"/>
  <c r="F10" i="3"/>
  <c r="F9" i="3"/>
  <c r="F8" i="3"/>
  <c r="D8" i="3"/>
  <c r="F7" i="3"/>
  <c r="D7" i="3"/>
  <c r="C7" i="3"/>
  <c r="B7" i="3"/>
  <c r="F6" i="3"/>
  <c r="D6" i="3"/>
  <c r="C6" i="3"/>
  <c r="E6" i="3" s="1"/>
  <c r="B6" i="3"/>
  <c r="C5" i="3"/>
  <c r="F5" i="3" s="1"/>
  <c r="B5" i="3"/>
  <c r="D5" i="3" s="1"/>
  <c r="D4" i="3"/>
  <c r="C4" i="3"/>
  <c r="E13" i="3" s="1"/>
  <c r="B4" i="3"/>
  <c r="D10" i="3" s="1"/>
  <c r="C46" i="2"/>
  <c r="D15" i="5" s="1"/>
  <c r="C45" i="2"/>
  <c r="C44" i="2"/>
  <c r="C42" i="2"/>
  <c r="B14" i="5" s="1"/>
  <c r="D37" i="2"/>
  <c r="C36" i="2"/>
  <c r="C38" i="2" s="1"/>
  <c r="C39" i="2" s="1"/>
  <c r="B9" i="4" s="1"/>
  <c r="D34" i="2"/>
  <c r="C34" i="2"/>
  <c r="D33" i="2"/>
  <c r="C33" i="2"/>
  <c r="D32" i="2"/>
  <c r="C23" i="4" s="1"/>
  <c r="C32" i="2"/>
  <c r="B13" i="5" s="1"/>
  <c r="D28" i="2"/>
  <c r="E28" i="2" s="1"/>
  <c r="C28" i="2"/>
  <c r="D27" i="2"/>
  <c r="D26" i="2"/>
  <c r="E26" i="2" s="1"/>
  <c r="C26" i="2"/>
  <c r="B7" i="4" s="1"/>
  <c r="E25" i="2"/>
  <c r="D25" i="2"/>
  <c r="C5" i="4" s="1"/>
  <c r="C25" i="2"/>
  <c r="B7" i="5" s="1"/>
  <c r="E22" i="2"/>
  <c r="D22" i="2"/>
  <c r="C22" i="2"/>
  <c r="B17" i="4" s="1"/>
  <c r="D17" i="4" s="1"/>
  <c r="D21" i="2"/>
  <c r="C18" i="4" s="1"/>
  <c r="C21" i="2"/>
  <c r="D16" i="5" s="1"/>
  <c r="C20" i="2"/>
  <c r="D11" i="5" s="1"/>
  <c r="D18" i="2"/>
  <c r="E18" i="2" s="1"/>
  <c r="C18" i="2"/>
  <c r="D17" i="2"/>
  <c r="C15" i="4" s="1"/>
  <c r="D16" i="2"/>
  <c r="E16" i="2" s="1"/>
  <c r="C16" i="2"/>
  <c r="D12" i="5" s="1"/>
  <c r="C12" i="2"/>
  <c r="B29" i="4" s="1"/>
  <c r="D11" i="2"/>
  <c r="C11" i="2"/>
  <c r="B28" i="4" s="1"/>
  <c r="D28" i="4" s="1"/>
  <c r="D10" i="2"/>
  <c r="E10" i="2" s="1"/>
  <c r="C10" i="2"/>
  <c r="B27" i="4" s="1"/>
  <c r="D7" i="2"/>
  <c r="C22" i="4" s="1"/>
  <c r="C7" i="2"/>
  <c r="B6" i="5" s="1"/>
  <c r="D6" i="2"/>
  <c r="E6" i="2" s="1"/>
  <c r="C6" i="2"/>
  <c r="D5" i="5" s="1"/>
  <c r="E5" i="2"/>
  <c r="D5" i="2"/>
  <c r="C21" i="4" s="1"/>
  <c r="C5" i="2"/>
  <c r="D4" i="5" s="1"/>
  <c r="B44" i="1"/>
  <c r="C13" i="2" s="1"/>
  <c r="B30" i="4" s="1"/>
  <c r="B43" i="1"/>
  <c r="C36" i="1"/>
  <c r="D29" i="2" s="1"/>
  <c r="B36" i="1"/>
  <c r="B35" i="6" s="1"/>
  <c r="B20" i="1"/>
  <c r="C19" i="1"/>
  <c r="C20" i="1" s="1"/>
  <c r="B19" i="1"/>
  <c r="B12" i="3" s="1"/>
  <c r="D12" i="3" s="1"/>
  <c r="C10" i="1"/>
  <c r="B10" i="1"/>
  <c r="C8" i="1"/>
  <c r="D20" i="2" s="1"/>
  <c r="C14" i="4" s="1"/>
  <c r="B8" i="1"/>
  <c r="B22" i="6" s="1"/>
  <c r="D29" i="4" l="1"/>
  <c r="D21" i="4"/>
  <c r="B36" i="6"/>
  <c r="B25" i="6"/>
  <c r="B40" i="6"/>
  <c r="B42" i="6" s="1"/>
  <c r="B44" i="6" s="1"/>
  <c r="B54" i="6" s="1"/>
  <c r="B23" i="6"/>
  <c r="B31" i="6"/>
  <c r="C19" i="2"/>
  <c r="E21" i="2"/>
  <c r="C29" i="2"/>
  <c r="E29" i="2" s="1"/>
  <c r="C43" i="2"/>
  <c r="E4" i="3"/>
  <c r="E10" i="3"/>
  <c r="C12" i="3"/>
  <c r="C7" i="4"/>
  <c r="D7" i="4" s="1"/>
  <c r="B18" i="4"/>
  <c r="D18" i="4" s="1"/>
  <c r="C27" i="4"/>
  <c r="D27" i="4" s="1"/>
  <c r="D19" i="2"/>
  <c r="C13" i="4" s="1"/>
  <c r="C35" i="2"/>
  <c r="B24" i="4" s="1"/>
  <c r="F4" i="3"/>
  <c r="B5" i="4"/>
  <c r="D5" i="4" s="1"/>
  <c r="B23" i="4"/>
  <c r="D23" i="4" s="1"/>
  <c r="B4" i="5"/>
  <c r="B8" i="5"/>
  <c r="B12" i="5"/>
  <c r="B16" i="5"/>
  <c r="E11" i="2"/>
  <c r="C17" i="2"/>
  <c r="C27" i="2"/>
  <c r="E27" i="2" s="1"/>
  <c r="D35" i="2"/>
  <c r="C24" i="4" s="1"/>
  <c r="E8" i="3"/>
  <c r="B8" i="4"/>
  <c r="D8" i="4" s="1"/>
  <c r="B16" i="4"/>
  <c r="D16" i="4" s="1"/>
  <c r="D8" i="5"/>
  <c r="C24" i="6"/>
  <c r="E7" i="2"/>
  <c r="D12" i="2"/>
  <c r="C29" i="4" s="1"/>
  <c r="C47" i="2"/>
  <c r="D9" i="3"/>
  <c r="B14" i="4"/>
  <c r="D14" i="4" s="1"/>
  <c r="D9" i="5"/>
  <c r="D13" i="5"/>
  <c r="D17" i="5"/>
  <c r="B9" i="5"/>
  <c r="E12" i="2"/>
  <c r="E20" i="2"/>
  <c r="E5" i="3"/>
  <c r="E9" i="3"/>
  <c r="C22" i="6"/>
  <c r="C33" i="6"/>
  <c r="E7" i="3"/>
  <c r="B11" i="5"/>
  <c r="B15" i="5"/>
  <c r="D21" i="6"/>
  <c r="C25" i="6" l="1"/>
  <c r="C23" i="6"/>
  <c r="C31" i="6"/>
  <c r="E19" i="2"/>
  <c r="B13" i="4"/>
  <c r="D13" i="4" s="1"/>
  <c r="E21" i="6"/>
  <c r="D33" i="6"/>
  <c r="D22" i="6"/>
  <c r="D24" i="6"/>
  <c r="D32" i="6"/>
  <c r="F12" i="3"/>
  <c r="E12" i="3"/>
  <c r="B15" i="4"/>
  <c r="D15" i="4" s="1"/>
  <c r="B10" i="5"/>
  <c r="E17" i="2"/>
  <c r="D10" i="5"/>
  <c r="D24" i="4"/>
  <c r="B26" i="6"/>
  <c r="B27" i="6"/>
  <c r="E33" i="6" l="1"/>
  <c r="E22" i="6"/>
  <c r="E24" i="6"/>
  <c r="E32" i="6"/>
  <c r="F21" i="6"/>
  <c r="D23" i="6"/>
  <c r="D31" i="6"/>
  <c r="D25" i="6"/>
  <c r="C26" i="6"/>
  <c r="C34" i="6" s="1"/>
  <c r="C35" i="6" s="1"/>
  <c r="C36" i="6" s="1"/>
  <c r="C27" i="6" l="1"/>
  <c r="E23" i="6"/>
  <c r="E31" i="6"/>
  <c r="E25" i="6"/>
  <c r="D26" i="6"/>
  <c r="D34" i="6" s="1"/>
  <c r="D27" i="6"/>
  <c r="F33" i="6"/>
  <c r="F22" i="6"/>
  <c r="F24" i="6"/>
  <c r="F32" i="6"/>
  <c r="G21" i="6"/>
  <c r="D35" i="6"/>
  <c r="D36" i="6" s="1"/>
  <c r="F23" i="6" l="1"/>
  <c r="F31" i="6"/>
  <c r="F25" i="6"/>
  <c r="E26" i="6"/>
  <c r="E34" i="6" s="1"/>
  <c r="E27" i="6"/>
  <c r="G24" i="6"/>
  <c r="H21" i="6"/>
  <c r="G32" i="6"/>
  <c r="G33" i="6"/>
  <c r="G22" i="6"/>
  <c r="E35" i="6"/>
  <c r="E36" i="6" s="1"/>
  <c r="F26" i="6" l="1"/>
  <c r="F34" i="6" s="1"/>
  <c r="B47" i="6"/>
  <c r="B49" i="6" s="1"/>
  <c r="B51" i="6" s="1"/>
  <c r="B55" i="6" s="1"/>
  <c r="G23" i="6"/>
  <c r="G31" i="6"/>
  <c r="G25" i="6"/>
  <c r="H22" i="6"/>
  <c r="F35" i="6"/>
  <c r="F36" i="6" s="1"/>
  <c r="B57" i="6" l="1"/>
  <c r="B56" i="6"/>
  <c r="G26" i="6"/>
  <c r="G34" i="6" s="1"/>
  <c r="G35" i="6" s="1"/>
  <c r="G36" i="6" s="1"/>
  <c r="F27" i="6"/>
  <c r="G27" i="6" l="1"/>
</calcChain>
</file>

<file path=xl/sharedStrings.xml><?xml version="1.0" encoding="utf-8"?>
<sst xmlns="http://schemas.openxmlformats.org/spreadsheetml/2006/main" count="376" uniqueCount="324">
  <si>
    <t>DIAGNOSTYKA S.A. — DANE FINANSOWE (tys. PLN)</t>
  </si>
  <si>
    <t>Źródło: Skonsolidowane sprawozdanie finansowe za 2025</t>
  </si>
  <si>
    <t>POZYCJA / POZYCJA FINANSOWA</t>
  </si>
  <si>
    <t>2025</t>
  </si>
  <si>
    <t>2024</t>
  </si>
  <si>
    <t>RACHUNEK ZYSKÓW I STRAT</t>
  </si>
  <si>
    <t>Przychody z umów z klientami</t>
  </si>
  <si>
    <t>Pozostałe przychody operacyjne</t>
  </si>
  <si>
    <t>Koszty działalności operacyjnej (abs.)</t>
  </si>
  <si>
    <t>EBIT (Zysk operacyjny)</t>
  </si>
  <si>
    <t>Koszty finansowe (netto)</t>
  </si>
  <si>
    <t>Zysk przed podatkiem (EBT)</t>
  </si>
  <si>
    <t>Podatek dochodowy</t>
  </si>
  <si>
    <t>Zysk netto</t>
  </si>
  <si>
    <t>ROZKŁAD KOSZTÓW OPERACYJNYCH</t>
  </si>
  <si>
    <t>Koszty pracownicze</t>
  </si>
  <si>
    <t>Materiały i energia</t>
  </si>
  <si>
    <t>Usługi obce</t>
  </si>
  <si>
    <t>Amortyzacja</t>
  </si>
  <si>
    <t>Pozostałe koszty</t>
  </si>
  <si>
    <t>RAZEM koszty operacyjne</t>
  </si>
  <si>
    <t>BILANS</t>
  </si>
  <si>
    <t>Aktywa ogółem</t>
  </si>
  <si>
    <t xml:space="preserve">  Aktywa obrotowe</t>
  </si>
  <si>
    <t xml:space="preserve">    Należności handlowe</t>
  </si>
  <si>
    <t xml:space="preserve">    Zapasy</t>
  </si>
  <si>
    <t xml:space="preserve">    Środki pieniężne</t>
  </si>
  <si>
    <t>Zobowiązania ogółem</t>
  </si>
  <si>
    <t xml:space="preserve">  Zobowiązania krótkoterminowe</t>
  </si>
  <si>
    <t xml:space="preserve">    Zobowiązania handlowe</t>
  </si>
  <si>
    <t>Kapitał własny</t>
  </si>
  <si>
    <t>PRZEPŁYWY PIENIĘŻNE</t>
  </si>
  <si>
    <t>CFO — przepływy operacyjne</t>
  </si>
  <si>
    <t>CAPEX — nakłady inwestycyjne</t>
  </si>
  <si>
    <t>FCF (Free Cash Flow)</t>
  </si>
  <si>
    <t>STRUKTURA DŁUGU FINANSOWEGO (tylko 2025)</t>
  </si>
  <si>
    <t>Kredyty i pożyczki (długoterminowe)</t>
  </si>
  <si>
    <t>Leasing finansowy (długoterminowy)</t>
  </si>
  <si>
    <t>Leasing finansowy (krótkoterminowy)</t>
  </si>
  <si>
    <t>Kredyty (krótkoterminowe)</t>
  </si>
  <si>
    <t>RAZEM dług finansowy</t>
  </si>
  <si>
    <t>Dług netto (Net Debt)</t>
  </si>
  <si>
    <t>Źródło: SSF_Diagnostyka_2025_ESEF | Dane w tys. PLN</t>
  </si>
  <si>
    <t>DIAGNOSTYKA S.A. — WSKAŹNIKI CFO</t>
  </si>
  <si>
    <t>Kolory: niebieski=input, czarny=formuła, zielony=link z innego arkusza</t>
  </si>
  <si>
    <t>WSKAŹNIK</t>
  </si>
  <si>
    <t>WZÓR / OPIS</t>
  </si>
  <si>
    <t>ZMIANA YoY</t>
  </si>
  <si>
    <t>OCENA CFO</t>
  </si>
  <si>
    <t>PŁYNNOŚĆ</t>
  </si>
  <si>
    <t>Current Ratio</t>
  </si>
  <si>
    <t>Aktywa obrotowe / Zobow. krótkoterm.</t>
  </si>
  <si>
    <t>0,73 — słabo bilansowo, ok operacyjnie</t>
  </si>
  <si>
    <t>Quick Ratio</t>
  </si>
  <si>
    <t>(AO - Zapasy) / Zobow. krótkoterm.</t>
  </si>
  <si>
    <t>0,59 — poniżej 1; model usługowy</t>
  </si>
  <si>
    <t>Cash Ratio</t>
  </si>
  <si>
    <t>Gotówka / Zobow. krótkoterm.</t>
  </si>
  <si>
    <t>0,04 — bardzo niska gotówka bilansowa</t>
  </si>
  <si>
    <t>ZADŁUŻENIE I DŹWIGNIA</t>
  </si>
  <si>
    <t>Debt to Equity</t>
  </si>
  <si>
    <t>Zobowiązania ogółem / Kapitał własny</t>
  </si>
  <si>
    <t>2,78x — wysoka dźwignia; kontrolowalna</t>
  </si>
  <si>
    <t>Debt to Assets</t>
  </si>
  <si>
    <t>Zobowiązania ogółem / Aktywa ogółem</t>
  </si>
  <si>
    <t>0,74 — 74% aktywów fin. zewnętrznie</t>
  </si>
  <si>
    <t>Interest Coverage</t>
  </si>
  <si>
    <t>EBIT / Koszty finansowe</t>
  </si>
  <si>
    <t>5,56x — pokrycie OK (&gt;3 = bezpieczne)</t>
  </si>
  <si>
    <t>Net Debt (tys. PLN)</t>
  </si>
  <si>
    <t>Dług finansowy - Gotówka</t>
  </si>
  <si>
    <t>n/d</t>
  </si>
  <si>
    <t>1 062 mln — dług operacyjny+leasing</t>
  </si>
  <si>
    <t>RENTOWNOŚĆ</t>
  </si>
  <si>
    <t>Net Profit Margin</t>
  </si>
  <si>
    <t>Zysk netto / Przychody</t>
  </si>
  <si>
    <t>10,9% → spada z 11,9%: presja kosztowa</t>
  </si>
  <si>
    <t>EBIT Margin</t>
  </si>
  <si>
    <t>EBIT / Przychody</t>
  </si>
  <si>
    <t>15,9% → spada z 17,3%: erozja marży op.</t>
  </si>
  <si>
    <t>Core EBIT Margin</t>
  </si>
  <si>
    <t>(Przychody klientów - Koszty op.) / Przychody</t>
  </si>
  <si>
    <t>15,3% → spada z 16,1%: trend potwierdzony</t>
  </si>
  <si>
    <t>EBITDA (tys. PLN)</t>
  </si>
  <si>
    <t>EBIT + Amortyzacja</t>
  </si>
  <si>
    <t>584 mln PLN</t>
  </si>
  <si>
    <t>EBITDA Margin</t>
  </si>
  <si>
    <t>EBITDA / Przychody</t>
  </si>
  <si>
    <t>24,3% → spada z 25,6%: lekkia erozja</t>
  </si>
  <si>
    <t>ROA</t>
  </si>
  <si>
    <t>Zysk netto / Aktywa ogółem</t>
  </si>
  <si>
    <t>12,7% → spada z 13,5%: efektywność maleje</t>
  </si>
  <si>
    <t>ROE</t>
  </si>
  <si>
    <t>Zysk netto / Kapitał własny</t>
  </si>
  <si>
    <t>47,9% — wysoka; napędzana dźwignią</t>
  </si>
  <si>
    <t>PRZEPŁYWY GOTÓWKI</t>
  </si>
  <si>
    <t>CCR (Cash Conversion Ratio)</t>
  </si>
  <si>
    <t>CFO / Zysk netto</t>
  </si>
  <si>
    <t>2,11x — bardzo dobra jakość zysku</t>
  </si>
  <si>
    <t>CFO Margin</t>
  </si>
  <si>
    <t>CFO / Przychody</t>
  </si>
  <si>
    <t>22,9% — rośnie: gotówkowość sprzedaży OK</t>
  </si>
  <si>
    <t>FCF (tys. PLN)</t>
  </si>
  <si>
    <t>CFO - CAPEX</t>
  </si>
  <si>
    <t>347 mln PLN — silny FCF</t>
  </si>
  <si>
    <t>CAPEX Intensity</t>
  </si>
  <si>
    <t>CAPEX / Przychody</t>
  </si>
  <si>
    <t>8,5% — CAPEX ≈ Amortyzacja: reinwestycja</t>
  </si>
  <si>
    <t>FCF Margin</t>
  </si>
  <si>
    <t>FCF / Przychody</t>
  </si>
  <si>
    <t>14,4% — dobry poziom FCF margin</t>
  </si>
  <si>
    <t>KAPITAŁ OBROTOWY</t>
  </si>
  <si>
    <t>DSO (dni)</t>
  </si>
  <si>
    <t>Należności / Przychody × 365</t>
  </si>
  <si>
    <t>39 dni → spada z 42: szybsze ściąganie gotówki</t>
  </si>
  <si>
    <t>DIO (dni, pomocniczo)</t>
  </si>
  <si>
    <t>Zapasy / Koszty op. × 365</t>
  </si>
  <si>
    <t>12 dni — niski: nieistotny w usługach</t>
  </si>
  <si>
    <t>DPO (dni, pomocniczo)</t>
  </si>
  <si>
    <t>Zobow. handl. / Koszty op. × 365</t>
  </si>
  <si>
    <t>24 dni — ok</t>
  </si>
  <si>
    <t>CCC (dni)</t>
  </si>
  <si>
    <t>DSO + DIO − DPO</t>
  </si>
  <si>
    <t>27 dni → spada z 30: krótki cykl</t>
  </si>
  <si>
    <t>KON 2025 (tys. PLN)</t>
  </si>
  <si>
    <t>Należności + Zapasy − Zobow. handl.</t>
  </si>
  <si>
    <t>192 mln PLN</t>
  </si>
  <si>
    <t>KON 2024 (tys. PLN)</t>
  </si>
  <si>
    <t>167 mln PLN</t>
  </si>
  <si>
    <t>ΔKON (tys. PLN)</t>
  </si>
  <si>
    <t>KON 2025 − KON 2024</t>
  </si>
  <si>
    <t>+25 mln: KON rośnie, lekko pochłania gotówkę</t>
  </si>
  <si>
    <t>CFS — Cash Flow Sales (tys. PLN)</t>
  </si>
  <si>
    <t>EBIT − ΔKON</t>
  </si>
  <si>
    <t>358 mln PLN — prawie cały EBIT zamienia się w cash</t>
  </si>
  <si>
    <t>WZROST YoY</t>
  </si>
  <si>
    <t>Wzrost przychodów</t>
  </si>
  <si>
    <t>🟢 +23,6% — bardzo mocny wzrost</t>
  </si>
  <si>
    <t>Wzrost EBIT</t>
  </si>
  <si>
    <t>🟡 +13,2% — wolniej niż przychody: presja</t>
  </si>
  <si>
    <t>Wzrost zysku netto</t>
  </si>
  <si>
    <t>🟡 +12,9% — wolniej niż przychody</t>
  </si>
  <si>
    <t>Wzrost CFO</t>
  </si>
  <si>
    <t>🟢 +32,8% — CFO rośnie szybciej niż przychody</t>
  </si>
  <si>
    <t>Wzrost kosztów op.</t>
  </si>
  <si>
    <t>🔴 +24,7% — szybciej niż przychody</t>
  </si>
  <si>
    <t>Wzrost EBITDA</t>
  </si>
  <si>
    <t>🟡 +17,0% — wolniej niż przychody</t>
  </si>
  <si>
    <t>DIAGNOSTYKA S.A. — ANALIZA KOSZTÓW (Vertical + YoY)</t>
  </si>
  <si>
    <t>POZYCJA KOSZTOWA</t>
  </si>
  <si>
    <t>2025 (tys.PLN)</t>
  </si>
  <si>
    <t>2024 (tys.PLN)</t>
  </si>
  <si>
    <t>% Rev 2025</t>
  </si>
  <si>
    <t>% Rev 2024</t>
  </si>
  <si>
    <t>YoY %</t>
  </si>
  <si>
    <t>KOMENTARZ CFO</t>
  </si>
  <si>
    <t>Przychody (baza)</t>
  </si>
  <si>
    <t>Baza do vertical analysis</t>
  </si>
  <si>
    <t>Największy koszt; stabilny % przychodów</t>
  </si>
  <si>
    <t>Stabilny udział — pozytywne</t>
  </si>
  <si>
    <t>🔴 Rośnie szybciej niż przychody (+38% YoY)</t>
  </si>
  <si>
    <t xml:space="preserve">  ↳ Zakup badań i usług med.</t>
  </si>
  <si>
    <t>Główny driver wzrostu — powiązany ze wzrostem sprzedaży</t>
  </si>
  <si>
    <t xml:space="preserve">  ↳ Konserwacja i naprawy</t>
  </si>
  <si>
    <t>Skalowanie infrastruktury</t>
  </si>
  <si>
    <t xml:space="preserve">  ↳ Usługi IT</t>
  </si>
  <si>
    <t>Digitalizacja — inwestycja w przyszłość</t>
  </si>
  <si>
    <t>Efekt wcześniejszych inwestycji; ≈ CAPEX</t>
  </si>
  <si>
    <t>Pozostałe koszty op.</t>
  </si>
  <si>
    <t>Rośnie szybciej niż przychody → erozja marży</t>
  </si>
  <si>
    <t>WNIOSKI CFO — ANALIZA KOSZTÓW</t>
  </si>
  <si>
    <t>1. Koszty pracownicze (38% przychodów) — stabilny udział; lekka poprawa YoY. Dobry sygnał efektywności operacyjnej.</t>
  </si>
  <si>
    <t>2. Usługi obce (+38% YoY, udział rośnie z 13,3% → 14,8%) — NAJWIĘKSZY PROBLEM. Głównie zakup badań medycznych (+61% YoY).</t>
  </si>
  <si>
    <t>3. Spółka wyjaśnia: wzrost usług obcych wynika ze wzrostu sprzedaży (zakup badań od zewnętrznych lab.). Nie jest to koszt wymykający się spod kontroli.</t>
  </si>
  <si>
    <t>4. Amortyzacja ≈ CAPEX → spółka inwestuje tyle, ile zużywa. Model 'maintenance + growth' reinvestment.</t>
  </si>
  <si>
    <t>5. Kluczowy monitoring: czy udział usług obcych w przychodach dalej rośnie w 2026? Jeśli tak — sygnał strukturalnej presji marży.</t>
  </si>
  <si>
    <t>DIAGNOSTYKA S.A. — CFO DASHBOARD 2025</t>
  </si>
  <si>
    <t>ZMIANA</t>
  </si>
  <si>
    <t>SYGNAŁ CFO</t>
  </si>
  <si>
    <t>💰 JAKOŚĆ GOTÓWKI</t>
  </si>
  <si>
    <t>CCR — Cash Conversion Ratio</t>
  </si>
  <si>
    <t>🟢 2,11x — zysk bardzo dobrze zamienia się w gotówkę</t>
  </si>
  <si>
    <t>CFO (tys. PLN)</t>
  </si>
  <si>
    <t>🟢 +33% YoY — gotówka rośnie szybciej niż sprzedaż</t>
  </si>
  <si>
    <t>🟢 22,9% — gotówkowość sprzedaży rośnie</t>
  </si>
  <si>
    <t>🟢 347 mln PLN — silny free cash flow</t>
  </si>
  <si>
    <t>🟢 358 mln — EBIT niemal w całości zamienia się w cash</t>
  </si>
  <si>
    <t>📉 RENTOWNOŚĆ</t>
  </si>
  <si>
    <t>Przychody (tys. PLN)</t>
  </si>
  <si>
    <t>🟡 +17% YoY — wolniej niż przychody</t>
  </si>
  <si>
    <t>🟡 24,3% → spada z 25,6%: lekka erozja</t>
  </si>
  <si>
    <t>🔴 15,9% → spada z 17,3%: presja kosztowa</t>
  </si>
  <si>
    <t>🔴 10,9% → spada z 11,9%: erozja zysku netto</t>
  </si>
  <si>
    <t>🟢 47,9% — wysoka stopa zwrotu (wspierana dźwignią)</t>
  </si>
  <si>
    <t>🟡 12,7% → spada: efektywność aktywów maleje</t>
  </si>
  <si>
    <t>⚠️ PŁYNNOŚĆ</t>
  </si>
  <si>
    <t>🔴 0,73 — słaby bilansowo; operacyjnie OK (model usługowy)</t>
  </si>
  <si>
    <t>🔴 0,04 — bardzo niska gotówka bilansowa</t>
  </si>
  <si>
    <t>🟢 39 dni → poprawia się: szybsze ściąganie należności</t>
  </si>
  <si>
    <t>🟢 27 dni → krótki cykl konwersji gotówki</t>
  </si>
  <si>
    <t>🏦 ZADŁUŻENIE</t>
  </si>
  <si>
    <t>🟡 2,78x — wysoka dźwignia; leasing+dług bankowy</t>
  </si>
  <si>
    <t>🟡 0,74 — 74% aktywów finansowanych zewnętrznie</t>
  </si>
  <si>
    <t>🟢 5,56x — bezpieczna obsługa długu (&gt;3 = bezpieczne)</t>
  </si>
  <si>
    <t>🟡 1,062 mln PLN — głównie leasing infrastruktury</t>
  </si>
  <si>
    <t>🎯 WERDYKT CFO</t>
  </si>
  <si>
    <t>MOCNE STRONY: Bardzo silna generacja gotówki (CCR=2,11x), krótki cykl (CCC=27dni), rosnący CFO, stabilny Interest Coverage.</t>
  </si>
  <si>
    <t>RYZYKA: Spadające marże (EBIT -1,4pp, EBITDA -1,4pp), koszty usług obcych rosną szybciej niż przychody (+38%), słaby Current Ratio.</t>
  </si>
  <si>
    <t>KLUCZOWY WNIOSEK: Diagnostyka to mocny biznes gotówkowy z silną fosą (demograficzną i strukturalną). Główne ryzyko: utrzymanie efektywności operacyjnej przy szybkim wzroście.</t>
  </si>
  <si>
    <t>DIAGNOSTYKA S.A. — AUTOMATYCZNE ALERTY CFO</t>
  </si>
  <si>
    <t>WARTOŚĆ 2025</t>
  </si>
  <si>
    <t>BENCHMARK</t>
  </si>
  <si>
    <t>STATUS</t>
  </si>
  <si>
    <t>INTERPRETACJA CFO</t>
  </si>
  <si>
    <t>&gt; 1,5</t>
  </si>
  <si>
    <t>Poniżej 1 — model usługowy kompensuje szybkim obrotem gotówki</t>
  </si>
  <si>
    <t>&gt; 1,0</t>
  </si>
  <si>
    <t>0,59 — słaby bilansowo; akceptowalny dla modelu cash-based</t>
  </si>
  <si>
    <t>&gt; 0,2</t>
  </si>
  <si>
    <t>0,04 — bardzo niska gotówka; CFO jest buforem</t>
  </si>
  <si>
    <t>CCR</t>
  </si>
  <si>
    <t>2,11x — wyjątkowo silna konwersja zysku na gotówkę</t>
  </si>
  <si>
    <t>&lt; 2,0</t>
  </si>
  <si>
    <t>2,78x — wysoka dźwignia; leasing+bank; kontrolowalna</t>
  </si>
  <si>
    <t>&gt; 3,0</t>
  </si>
  <si>
    <t>5,56x — bezpieczna obsługa odsetek</t>
  </si>
  <si>
    <t>stabilna/rosnąca</t>
  </si>
  <si>
    <t>15,9% → spada z 17,3% — monitorować tendencję</t>
  </si>
  <si>
    <t>24,3% → spada z 25,6% — lekka erozja</t>
  </si>
  <si>
    <t>Net Margin</t>
  </si>
  <si>
    <t>10,9% → spada z 11,9% — efekt kosztowy</t>
  </si>
  <si>
    <t>&lt; 45 dni</t>
  </si>
  <si>
    <t>39 dni i spada — kontrola należności dobra</t>
  </si>
  <si>
    <t>YoY Przychody</t>
  </si>
  <si>
    <t>&gt; 10%</t>
  </si>
  <si>
    <t>+23,6% — bardzo mocny wzrost organiczny + M&amp;A</t>
  </si>
  <si>
    <t>YoY Koszty vs Przychody</t>
  </si>
  <si>
    <t>0% (koszty &lt; przychody)</t>
  </si>
  <si>
    <t>Koszty +24,7% vs przychody +23,6% — lekka presja</t>
  </si>
  <si>
    <t>ROA trend</t>
  </si>
  <si>
    <t>stabilne/rosnące</t>
  </si>
  <si>
    <t>12,7% → spada z 13,5% — aktywa rosną szybciej niż zysk</t>
  </si>
  <si>
    <t>CFO Margin trend</t>
  </si>
  <si>
    <t>22,9% → rośnie z 21,3% — pozytywny sygnał</t>
  </si>
  <si>
    <t>LEGENDA</t>
  </si>
  <si>
    <t>🟢 OK / DOBRE</t>
  </si>
  <si>
    <t>🟡 UWAGA / MONITOROWAĆ</t>
  </si>
  <si>
    <t>🔴 ZAGROŻENIE / RYZYKO</t>
  </si>
  <si>
    <t>DIAGNOSTYKA S.A. — MODEL PE (5-LETNIA PROJEKCJA + ZWROT)</t>
  </si>
  <si>
    <t>Perspektywa funduszu Private Equity — scenariusz bazowy | Niebieski = założenie do zmiany</t>
  </si>
  <si>
    <t>ZAŁOŻENIA PE (Scenariusz bazowy — zmień niebieskie komórki)</t>
  </si>
  <si>
    <t>PARAMETR</t>
  </si>
  <si>
    <t>WARTOŚĆ</t>
  </si>
  <si>
    <t>Rok wejścia (entry year)</t>
  </si>
  <si>
    <t>Okres trzymania (lata)</t>
  </si>
  <si>
    <t>Wielokrotność wejścia EV/EBITDA</t>
  </si>
  <si>
    <t>Wielokrotność wyjścia EV/EBITDA</t>
  </si>
  <si>
    <t>Wzrost przychodów — Rok 1-3 (%)</t>
  </si>
  <si>
    <t>Wzrost przychodów — Rok 4-5 (%)</t>
  </si>
  <si>
    <t>Docelowa marża EBITDA (%)</t>
  </si>
  <si>
    <t>CAPEX % przychodów</t>
  </si>
  <si>
    <t>Zmiana KON % przychodów</t>
  </si>
  <si>
    <t>Efektywna stawka podatku</t>
  </si>
  <si>
    <t>Dług netto przy wejściu (tys. PLN)</t>
  </si>
  <si>
    <t>Dług netto przy wyjściu (spłata rocznie, tys.)</t>
  </si>
  <si>
    <t>PROJEKCJA 5-LETNIA (tys. PLN)</t>
  </si>
  <si>
    <t>POZYCJA</t>
  </si>
  <si>
    <t>BAZA 2025</t>
  </si>
  <si>
    <t>2026 (R1)</t>
  </si>
  <si>
    <t>2027 (R2)</t>
  </si>
  <si>
    <t>2028 (R3)</t>
  </si>
  <si>
    <t>2029 (R4)</t>
  </si>
  <si>
    <t>2030 (R5)</t>
  </si>
  <si>
    <t>CAGR</t>
  </si>
  <si>
    <t>Przychody</t>
  </si>
  <si>
    <t>EBITDA</t>
  </si>
  <si>
    <t xml:space="preserve">  Marża EBITDA</t>
  </si>
  <si>
    <t>Amortyzacja (D&amp;A)</t>
  </si>
  <si>
    <t>EBIT</t>
  </si>
  <si>
    <t>Podatek</t>
  </si>
  <si>
    <t>NOPAT (EBIT po podatku)</t>
  </si>
  <si>
    <t>FREE CASH FLOW (tys. PLN)</t>
  </si>
  <si>
    <t>UWAGA</t>
  </si>
  <si>
    <t>CAPEX</t>
  </si>
  <si>
    <t>Zmiana KON</t>
  </si>
  <si>
    <t>Podatek (na EBIT)</t>
  </si>
  <si>
    <t>FCF (Unlevered)</t>
  </si>
  <si>
    <t xml:space="preserve">  FCF Margin</t>
  </si>
  <si>
    <t>WYCENA: ENTRY vs EXIT</t>
  </si>
  <si>
    <t>ENTRY — rok 2025</t>
  </si>
  <si>
    <t xml:space="preserve">  EBITDA bazowa (tys. PLN)</t>
  </si>
  <si>
    <t xml:space="preserve">  Wielokrotność wejścia (EV/EBITDA)</t>
  </si>
  <si>
    <t xml:space="preserve">  Enterprise Value wejścia (tys. PLN)</t>
  </si>
  <si>
    <t xml:space="preserve">  Dług netto przy wejściu (tys. PLN)</t>
  </si>
  <si>
    <t xml:space="preserve">  Equity Value wejścia (tys. PLN)</t>
  </si>
  <si>
    <t>EXIT — rok 2030 (po 5 latach)</t>
  </si>
  <si>
    <t xml:space="preserve">  EBITDA wyjścia (tys. PLN)</t>
  </si>
  <si>
    <t xml:space="preserve">  Wielokrotność wyjścia (EV/EBITDA)</t>
  </si>
  <si>
    <t xml:space="preserve">  Enterprise Value wyjścia (tys. PLN)</t>
  </si>
  <si>
    <t xml:space="preserve">  Dług netto przy wyjściu (tys. PLN)</t>
  </si>
  <si>
    <t xml:space="preserve">  Equity Value wyjścia (tys. PLN)</t>
  </si>
  <si>
    <t>ZWROT Z INWESTYCJI PE</t>
  </si>
  <si>
    <t>Kapitał zainwestowany — Equity (tys. PLN)</t>
  </si>
  <si>
    <t>Wartość wyjścia — Equity (tys. PLN)</t>
  </si>
  <si>
    <t>MOIC (Money on Invested Capital)</t>
  </si>
  <si>
    <t>IRR — stopa zwrotu</t>
  </si>
  <si>
    <t>INTERPRETACJA ZWROTU PE</t>
  </si>
  <si>
    <t>IRR &gt; 25%: Doskonały zwrot — top quartile PE fund</t>
  </si>
  <si>
    <t>IRR 20-25%: Bardzo dobry — standardowy cel PE</t>
  </si>
  <si>
    <t>IRR 15-20%: Dobry — akceptowalny dla blue-chip</t>
  </si>
  <si>
    <t>IRR &lt; 15%: Słaby — poniżej kosztu kapitału PE</t>
  </si>
  <si>
    <t>SCENARIUSZE — zmień założenia (komórki B8-B17) aby zobaczyć wpływ na IRR</t>
  </si>
  <si>
    <t>SCENARIUSZ</t>
  </si>
  <si>
    <t>ZAŁOŻENIA</t>
  </si>
  <si>
    <t>JAK URUCHOMIĆ</t>
  </si>
  <si>
    <t>Bear Case</t>
  </si>
  <si>
    <t>8x entry, 8x exit, wzrost 7%, marża EBITDA 24%</t>
  </si>
  <si>
    <t>Zmień B8=8, B9=8, B10=7%, B11=7%, B12=24%</t>
  </si>
  <si>
    <t>Base Case</t>
  </si>
  <si>
    <t>8x entry, 10x exit, wzrost 10%, marża EBITDA 26%</t>
  </si>
  <si>
    <t>Wartości domyślne — nie zmieniaj</t>
  </si>
  <si>
    <t>Bull Case</t>
  </si>
  <si>
    <t>8x entry, 12x exit, wzrost 13%, marża EBITDA 28%</t>
  </si>
  <si>
    <t>Zmień B9=12, B10=13%, B11=11%, B12=28%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</si>
</sst>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-"/>
    <numFmt numFmtId="165" formatCode="0.0\x;\(0.0&quot;x)&quot;;\-"/>
    <numFmt numFmtId="166" formatCode="0.0%;\(0.0%\);\-"/>
  </numFmts>
  <fonts count="10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sz val="9"/>
      <color rgb="FF808080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sz val="10"/>
      <color rgb="FF0000FF"/>
      <name val="Arial"/>
      <charset val="1"/>
    </font>
    <font>
      <b/>
      <sz val="10"/>
      <color rgb="FF000000"/>
      <name val="Arial"/>
      <charset val="1"/>
    </font>
    <font>
      <sz val="10"/>
      <color rgb="FF008000"/>
      <name val="Arial"/>
      <charset val="1"/>
    </font>
    <font>
      <sz val="9"/>
      <color rgb="FF000000"/>
      <name val="Arial"/>
      <charset val="1"/>
    </font>
    <font>
      <b/>
      <sz val="10"/>
      <color rgb="FF008000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EBF0FA"/>
      </patternFill>
    </fill>
    <fill>
      <patternFill patternType="solid">
        <fgColor rgb="FFEBF0FA"/>
        <bgColor rgb="FFE2EFDA"/>
      </patternFill>
    </fill>
    <fill>
      <patternFill patternType="solid">
        <fgColor rgb="FFD9E2F3"/>
        <bgColor rgb="FFE2EFDA"/>
      </patternFill>
    </fill>
    <fill>
      <patternFill patternType="solid">
        <fgColor rgb="FFFFE0E0"/>
        <bgColor rgb="FFFCE4D6"/>
      </patternFill>
    </fill>
    <fill>
      <patternFill patternType="solid">
        <fgColor rgb="FFFCE4D6"/>
        <bgColor rgb="FFFFE0E0"/>
      </patternFill>
    </fill>
    <fill>
      <patternFill patternType="solid">
        <fgColor rgb="FFE2EFDA"/>
        <bgColor rgb="FFEBF0FA"/>
      </patternFill>
    </fill>
    <fill>
      <patternFill patternType="solid">
        <fgColor rgb="FF1F6B3E"/>
        <bgColor rgb="FF008000"/>
      </patternFill>
    </fill>
    <fill>
      <patternFill patternType="solid">
        <fgColor rgb="FF7F3F00"/>
        <bgColor rgb="FF7B3F00"/>
      </patternFill>
    </fill>
    <fill>
      <patternFill patternType="solid">
        <fgColor rgb="FF7B3F00"/>
        <bgColor rgb="FF7F3F00"/>
      </patternFill>
    </fill>
    <fill>
      <patternFill patternType="solid">
        <fgColor rgb="FF4A235B"/>
        <bgColor rgb="FF333399"/>
      </patternFill>
    </fill>
    <fill>
      <patternFill patternType="solid">
        <fgColor rgb="FFFFFF99"/>
        <bgColor rgb="FFFCE4D6"/>
      </patternFill>
    </fill>
    <fill>
      <patternFill patternType="solid">
        <fgColor rgb="FF808080"/>
        <bgColor rgb="FF96969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4" fillId="14" borderId="0" xfId="0" applyFont="1" applyFill="1" applyAlignment="1">
      <alignment horizontal="left" vertical="center"/>
    </xf>
    <xf numFmtId="0" fontId="4" fillId="9" borderId="0" xfId="0" applyFont="1" applyFill="1" applyAlignment="1">
      <alignment horizontal="left" vertical="center"/>
    </xf>
    <xf numFmtId="0" fontId="6" fillId="7" borderId="0" xfId="0" applyFont="1" applyFill="1" applyAlignment="1">
      <alignment horizontal="center" vertical="center"/>
    </xf>
    <xf numFmtId="0" fontId="6" fillId="14" borderId="0" xfId="0" applyFont="1" applyFill="1" applyAlignment="1">
      <alignment horizontal="center" vertical="center"/>
    </xf>
    <xf numFmtId="0" fontId="6" fillId="9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3" fillId="12" borderId="0" xfId="0" applyFont="1" applyFill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8" fillId="5" borderId="0" xfId="0" applyFont="1" applyFill="1" applyAlignment="1">
      <alignment horizontal="left" vertical="center" wrapText="1"/>
    </xf>
    <xf numFmtId="0" fontId="8" fillId="4" borderId="0" xfId="0" applyFont="1" applyFill="1" applyAlignment="1">
      <alignment horizontal="left" vertical="center" wrapText="1"/>
    </xf>
    <xf numFmtId="0" fontId="3" fillId="3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5" borderId="0" xfId="0" applyFont="1" applyFill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6" fillId="6" borderId="0" xfId="0" applyFont="1" applyFill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4" fontId="5" fillId="6" borderId="1" xfId="0" applyNumberFormat="1" applyFont="1" applyFill="1" applyBorder="1" applyAlignment="1">
      <alignment horizontal="righ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4" fillId="7" borderId="0" xfId="0" applyFont="1" applyFill="1" applyAlignment="1">
      <alignment horizontal="left" vertical="center"/>
    </xf>
    <xf numFmtId="165" fontId="7" fillId="7" borderId="1" xfId="0" applyNumberFormat="1" applyFont="1" applyFill="1" applyBorder="1" applyAlignment="1">
      <alignment horizontal="right" vertical="center"/>
    </xf>
    <xf numFmtId="165" fontId="4" fillId="7" borderId="1" xfId="0" applyNumberFormat="1" applyFont="1" applyFill="1" applyBorder="1" applyAlignment="1">
      <alignment horizontal="right" vertical="center"/>
    </xf>
    <xf numFmtId="0" fontId="8" fillId="7" borderId="0" xfId="0" applyFont="1" applyFill="1" applyAlignment="1">
      <alignment horizontal="left" vertical="center" wrapText="1"/>
    </xf>
    <xf numFmtId="0" fontId="4" fillId="8" borderId="0" xfId="0" applyFont="1" applyFill="1" applyAlignment="1">
      <alignment horizontal="left" vertical="center"/>
    </xf>
    <xf numFmtId="165" fontId="7" fillId="8" borderId="1" xfId="0" applyNumberFormat="1" applyFont="1" applyFill="1" applyBorder="1" applyAlignment="1">
      <alignment horizontal="right" vertical="center"/>
    </xf>
    <xf numFmtId="165" fontId="4" fillId="8" borderId="1" xfId="0" applyNumberFormat="1" applyFont="1" applyFill="1" applyBorder="1" applyAlignment="1">
      <alignment horizontal="right" vertical="center"/>
    </xf>
    <xf numFmtId="0" fontId="8" fillId="8" borderId="0" xfId="0" applyFont="1" applyFill="1" applyAlignment="1">
      <alignment horizontal="left" vertical="center" wrapText="1"/>
    </xf>
    <xf numFmtId="0" fontId="4" fillId="9" borderId="0" xfId="0" applyFont="1" applyFill="1" applyAlignment="1">
      <alignment horizontal="left" vertical="center"/>
    </xf>
    <xf numFmtId="165" fontId="7" fillId="9" borderId="1" xfId="0" applyNumberFormat="1" applyFont="1" applyFill="1" applyBorder="1" applyAlignment="1">
      <alignment horizontal="right" vertical="center"/>
    </xf>
    <xf numFmtId="165" fontId="4" fillId="9" borderId="1" xfId="0" applyNumberFormat="1" applyFont="1" applyFill="1" applyBorder="1" applyAlignment="1">
      <alignment horizontal="right" vertical="center"/>
    </xf>
    <xf numFmtId="0" fontId="8" fillId="9" borderId="0" xfId="0" applyFont="1" applyFill="1" applyAlignment="1">
      <alignment horizontal="left" vertical="center" wrapText="1"/>
    </xf>
    <xf numFmtId="164" fontId="7" fillId="5" borderId="1" xfId="0" applyNumberFormat="1" applyFont="1" applyFill="1" applyBorder="1" applyAlignment="1">
      <alignment horizontal="right" vertical="center"/>
    </xf>
    <xf numFmtId="0" fontId="0" fillId="5" borderId="0" xfId="0" applyFill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166" fontId="7" fillId="8" borderId="1" xfId="0" applyNumberFormat="1" applyFont="1" applyFill="1" applyBorder="1" applyAlignment="1">
      <alignment horizontal="right" vertical="center"/>
    </xf>
    <xf numFmtId="166" fontId="4" fillId="8" borderId="1" xfId="0" applyNumberFormat="1" applyFont="1" applyFill="1" applyBorder="1" applyAlignment="1">
      <alignment horizontal="right" vertical="center"/>
    </xf>
    <xf numFmtId="164" fontId="7" fillId="9" borderId="1" xfId="0" applyNumberFormat="1" applyFont="1" applyFill="1" applyBorder="1" applyAlignment="1">
      <alignment horizontal="right" vertical="center"/>
    </xf>
    <xf numFmtId="164" fontId="4" fillId="9" borderId="1" xfId="0" applyNumberFormat="1" applyFont="1" applyFill="1" applyBorder="1" applyAlignment="1">
      <alignment horizontal="right" vertical="center"/>
    </xf>
    <xf numFmtId="166" fontId="7" fillId="9" borderId="1" xfId="0" applyNumberFormat="1" applyFont="1" applyFill="1" applyBorder="1" applyAlignment="1">
      <alignment horizontal="right" vertical="center"/>
    </xf>
    <xf numFmtId="166" fontId="4" fillId="9" borderId="1" xfId="0" applyNumberFormat="1" applyFont="1" applyFill="1" applyBorder="1" applyAlignment="1">
      <alignment horizontal="right" vertical="center"/>
    </xf>
    <xf numFmtId="166" fontId="7" fillId="5" borderId="1" xfId="0" applyNumberFormat="1" applyFont="1" applyFill="1" applyBorder="1" applyAlignment="1">
      <alignment horizontal="right" vertical="center"/>
    </xf>
    <xf numFmtId="166" fontId="4" fillId="5" borderId="1" xfId="0" applyNumberFormat="1" applyFont="1" applyFill="1" applyBorder="1" applyAlignment="1">
      <alignment horizontal="right" vertical="center"/>
    </xf>
    <xf numFmtId="164" fontId="4" fillId="5" borderId="1" xfId="0" applyNumberFormat="1" applyFont="1" applyFill="1" applyBorder="1" applyAlignment="1">
      <alignment horizontal="right" vertical="center"/>
    </xf>
    <xf numFmtId="166" fontId="7" fillId="7" borderId="1" xfId="0" applyNumberFormat="1" applyFont="1" applyFill="1" applyBorder="1" applyAlignment="1">
      <alignment horizontal="right" vertical="center"/>
    </xf>
    <xf numFmtId="0" fontId="6" fillId="9" borderId="0" xfId="0" applyFont="1" applyFill="1" applyAlignment="1">
      <alignment horizontal="left" vertical="center"/>
    </xf>
    <xf numFmtId="164" fontId="9" fillId="9" borderId="1" xfId="0" applyNumberFormat="1" applyFont="1" applyFill="1" applyBorder="1" applyAlignment="1">
      <alignment horizontal="right" vertical="center"/>
    </xf>
    <xf numFmtId="166" fontId="6" fillId="9" borderId="1" xfId="0" applyNumberFormat="1" applyFont="1" applyFill="1" applyBorder="1" applyAlignment="1">
      <alignment horizontal="right" vertical="center"/>
    </xf>
    <xf numFmtId="164" fontId="7" fillId="4" borderId="1" xfId="0" applyNumberFormat="1" applyFont="1" applyFill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8" fillId="4" borderId="0" xfId="0" applyFont="1" applyFill="1" applyAlignment="1">
      <alignment horizontal="left" vertical="center" wrapText="1"/>
    </xf>
    <xf numFmtId="164" fontId="7" fillId="8" borderId="1" xfId="0" applyNumberFormat="1" applyFont="1" applyFill="1" applyBorder="1" applyAlignment="1">
      <alignment horizontal="right" vertical="center"/>
    </xf>
    <xf numFmtId="164" fontId="9" fillId="6" borderId="1" xfId="0" applyNumberFormat="1" applyFont="1" applyFill="1" applyBorder="1" applyAlignment="1">
      <alignment horizontal="right" vertical="center"/>
    </xf>
    <xf numFmtId="166" fontId="6" fillId="6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 wrapText="1"/>
    </xf>
    <xf numFmtId="165" fontId="9" fillId="9" borderId="1" xfId="0" applyNumberFormat="1" applyFont="1" applyFill="1" applyBorder="1" applyAlignment="1">
      <alignment horizontal="right" vertical="center"/>
    </xf>
    <xf numFmtId="166" fontId="9" fillId="9" borderId="1" xfId="0" applyNumberFormat="1" applyFont="1" applyFill="1" applyBorder="1" applyAlignment="1">
      <alignment horizontal="right" vertical="center"/>
    </xf>
    <xf numFmtId="164" fontId="9" fillId="8" borderId="1" xfId="0" applyNumberFormat="1" applyFont="1" applyFill="1" applyBorder="1" applyAlignment="1">
      <alignment horizontal="right" vertical="center"/>
    </xf>
    <xf numFmtId="164" fontId="4" fillId="8" borderId="1" xfId="0" applyNumberFormat="1" applyFont="1" applyFill="1" applyBorder="1" applyAlignment="1">
      <alignment horizontal="right" vertical="center"/>
    </xf>
    <xf numFmtId="166" fontId="9" fillId="8" borderId="1" xfId="0" applyNumberFormat="1" applyFont="1" applyFill="1" applyBorder="1" applyAlignment="1">
      <alignment horizontal="right" vertical="center"/>
    </xf>
    <xf numFmtId="166" fontId="9" fillId="7" borderId="1" xfId="0" applyNumberFormat="1" applyFont="1" applyFill="1" applyBorder="1" applyAlignment="1">
      <alignment horizontal="right" vertical="center"/>
    </xf>
    <xf numFmtId="166" fontId="4" fillId="7" borderId="1" xfId="0" applyNumberFormat="1" applyFont="1" applyFill="1" applyBorder="1" applyAlignment="1">
      <alignment horizontal="right" vertical="center"/>
    </xf>
    <xf numFmtId="165" fontId="9" fillId="7" borderId="1" xfId="0" applyNumberFormat="1" applyFont="1" applyFill="1" applyBorder="1" applyAlignment="1">
      <alignment horizontal="right" vertical="center"/>
    </xf>
    <xf numFmtId="165" fontId="9" fillId="8" borderId="1" xfId="0" applyNumberFormat="1" applyFont="1" applyFill="1" applyBorder="1" applyAlignment="1">
      <alignment horizontal="right" vertical="center"/>
    </xf>
    <xf numFmtId="0" fontId="8" fillId="7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49" fontId="5" fillId="5" borderId="1" xfId="0" applyNumberFormat="1" applyFont="1" applyFill="1" applyBorder="1" applyAlignment="1">
      <alignment horizontal="right" vertical="center"/>
    </xf>
    <xf numFmtId="165" fontId="5" fillId="5" borderId="1" xfId="0" applyNumberFormat="1" applyFont="1" applyFill="1" applyBorder="1" applyAlignment="1">
      <alignment horizontal="righ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5" fillId="5" borderId="1" xfId="0" applyNumberFormat="1" applyFont="1" applyFill="1" applyBorder="1" applyAlignment="1">
      <alignment horizontal="right" vertical="center"/>
    </xf>
    <xf numFmtId="166" fontId="5" fillId="4" borderId="1" xfId="0" applyNumberFormat="1" applyFont="1" applyFill="1" applyBorder="1" applyAlignment="1">
      <alignment horizontal="right" vertical="center"/>
    </xf>
    <xf numFmtId="0" fontId="6" fillId="4" borderId="0" xfId="0" applyFont="1" applyFill="1" applyAlignment="1">
      <alignment horizontal="left" vertical="center"/>
    </xf>
    <xf numFmtId="164" fontId="9" fillId="4" borderId="1" xfId="0" applyNumberFormat="1" applyFont="1" applyFill="1" applyBorder="1" applyAlignment="1">
      <alignment horizontal="right" vertical="center"/>
    </xf>
    <xf numFmtId="164" fontId="6" fillId="4" borderId="1" xfId="0" applyNumberFormat="1" applyFont="1" applyFill="1" applyBorder="1" applyAlignment="1">
      <alignment horizontal="right" vertical="center"/>
    </xf>
    <xf numFmtId="166" fontId="6" fillId="4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65" fontId="4" fillId="5" borderId="1" xfId="0" applyNumberFormat="1" applyFont="1" applyFill="1" applyBorder="1" applyAlignment="1">
      <alignment horizontal="right" vertical="center"/>
    </xf>
    <xf numFmtId="164" fontId="9" fillId="5" borderId="1" xfId="0" applyNumberFormat="1" applyFont="1" applyFill="1" applyBorder="1" applyAlignment="1">
      <alignment horizontal="right" vertical="center"/>
    </xf>
    <xf numFmtId="165" fontId="6" fillId="6" borderId="1" xfId="0" applyNumberFormat="1" applyFont="1" applyFill="1" applyBorder="1" applyAlignment="1">
      <alignment horizontal="right" vertical="center"/>
    </xf>
    <xf numFmtId="0" fontId="8" fillId="14" borderId="0" xfId="0" applyFont="1" applyFill="1" applyAlignment="1">
      <alignment horizontal="left" vertical="center" wrapText="1"/>
    </xf>
    <xf numFmtId="0" fontId="4" fillId="7" borderId="0" xfId="0" applyFont="1" applyFill="1" applyAlignment="1">
      <alignment horizontal="left" vertical="center"/>
    </xf>
    <xf numFmtId="0" fontId="3" fillId="15" borderId="0" xfId="0" applyFont="1" applyFill="1" applyAlignment="1">
      <alignment horizontal="left" vertical="center"/>
    </xf>
    <xf numFmtId="49" fontId="4" fillId="7" borderId="1" xfId="0" applyNumberFormat="1" applyFont="1" applyFill="1" applyBorder="1" applyAlignment="1">
      <alignment horizontal="left" vertical="center"/>
    </xf>
    <xf numFmtId="49" fontId="4" fillId="9" borderId="1" xfId="0" applyNumberFormat="1" applyFont="1" applyFill="1" applyBorder="1" applyAlignment="1">
      <alignment horizontal="left" vertical="center"/>
    </xf>
    <xf numFmtId="49" fontId="4" fillId="8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B3E"/>
      <rgbColor rgb="FFBFBFBF"/>
      <rgbColor rgb="FF808080"/>
      <rgbColor rgb="FF9999FF"/>
      <rgbColor rgb="FF7030A0"/>
      <rgbColor rgb="FFFCE4D6"/>
      <rgbColor rgb="FFEBF0FA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E0E0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00B050"/>
      <rgbColor rgb="FF003300"/>
      <rgbColor rgb="FF333300"/>
      <rgbColor rgb="FF7F3F00"/>
      <rgbColor rgb="FF7B3F00"/>
      <rgbColor rgb="FF333399"/>
      <rgbColor rgb="FF4A235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C46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8.6640625" defaultRowHeight="14.4" x14ac:dyDescent="0.3"/>
  <cols>
    <col min="1" max="1" width="38" customWidth="1"/>
    <col min="2" max="3" width="16" customWidth="1"/>
    <col min="4" max="4" width="30" customWidth="1"/>
  </cols>
  <sheetData>
    <row r="1" spans="1:3" ht="27.75" customHeight="1" x14ac:dyDescent="0.3">
      <c r="A1" s="14" t="s">
        <v>0</v>
      </c>
      <c r="B1" s="14"/>
      <c r="C1" s="14"/>
    </row>
    <row r="2" spans="1:3" x14ac:dyDescent="0.3">
      <c r="B2" s="15" t="s">
        <v>1</v>
      </c>
    </row>
    <row r="3" spans="1:3" x14ac:dyDescent="0.3">
      <c r="A3" s="16" t="s">
        <v>2</v>
      </c>
      <c r="B3" s="16" t="s">
        <v>3</v>
      </c>
      <c r="C3" s="16" t="s">
        <v>4</v>
      </c>
    </row>
    <row r="4" spans="1:3" ht="19.5" customHeight="1" x14ac:dyDescent="0.3">
      <c r="A4" s="13" t="s">
        <v>5</v>
      </c>
      <c r="B4" s="13"/>
      <c r="C4" s="13"/>
    </row>
    <row r="5" spans="1:3" x14ac:dyDescent="0.3">
      <c r="A5" s="17" t="s">
        <v>6</v>
      </c>
      <c r="B5" s="18">
        <v>2410467</v>
      </c>
      <c r="C5" s="18">
        <v>1950147</v>
      </c>
    </row>
    <row r="6" spans="1:3" x14ac:dyDescent="0.3">
      <c r="A6" s="19" t="s">
        <v>7</v>
      </c>
      <c r="B6" s="20">
        <v>13766</v>
      </c>
      <c r="C6" s="20">
        <v>24541</v>
      </c>
    </row>
    <row r="7" spans="1:3" x14ac:dyDescent="0.3">
      <c r="A7" s="17" t="s">
        <v>8</v>
      </c>
      <c r="B7" s="18">
        <v>2041532</v>
      </c>
      <c r="C7" s="18">
        <v>1636677</v>
      </c>
    </row>
    <row r="8" spans="1:3" x14ac:dyDescent="0.3">
      <c r="A8" s="21" t="s">
        <v>9</v>
      </c>
      <c r="B8" s="22">
        <f>B5+B6-B7</f>
        <v>382701</v>
      </c>
      <c r="C8" s="22">
        <f>C5+C6-C7</f>
        <v>338011</v>
      </c>
    </row>
    <row r="9" spans="1:3" x14ac:dyDescent="0.3">
      <c r="A9" s="19" t="s">
        <v>10</v>
      </c>
      <c r="B9" s="20">
        <v>68860</v>
      </c>
      <c r="C9" s="20">
        <v>57367</v>
      </c>
    </row>
    <row r="10" spans="1:3" x14ac:dyDescent="0.3">
      <c r="A10" s="21" t="s">
        <v>11</v>
      </c>
      <c r="B10" s="22">
        <f>B8-B9</f>
        <v>313841</v>
      </c>
      <c r="C10" s="22">
        <f>C8-C9</f>
        <v>280644</v>
      </c>
    </row>
    <row r="11" spans="1:3" x14ac:dyDescent="0.3">
      <c r="A11" s="17" t="s">
        <v>12</v>
      </c>
      <c r="B11" s="18">
        <v>55008</v>
      </c>
      <c r="C11" s="18">
        <v>59235</v>
      </c>
    </row>
    <row r="12" spans="1:3" x14ac:dyDescent="0.3">
      <c r="A12" s="23" t="s">
        <v>13</v>
      </c>
      <c r="B12" s="20">
        <v>261874</v>
      </c>
      <c r="C12" s="20">
        <v>231959</v>
      </c>
    </row>
    <row r="14" spans="1:3" ht="19.5" customHeight="1" x14ac:dyDescent="0.3">
      <c r="A14" s="13" t="s">
        <v>14</v>
      </c>
      <c r="B14" s="13"/>
      <c r="C14" s="13"/>
    </row>
    <row r="15" spans="1:3" x14ac:dyDescent="0.3">
      <c r="A15" s="17" t="s">
        <v>15</v>
      </c>
      <c r="B15" s="18">
        <v>917838</v>
      </c>
      <c r="C15" s="18">
        <v>754966</v>
      </c>
    </row>
    <row r="16" spans="1:3" x14ac:dyDescent="0.3">
      <c r="A16" s="19" t="s">
        <v>16</v>
      </c>
      <c r="B16" s="20">
        <v>499765</v>
      </c>
      <c r="C16" s="20">
        <v>411825</v>
      </c>
    </row>
    <row r="17" spans="1:3" x14ac:dyDescent="0.3">
      <c r="A17" s="17" t="s">
        <v>17</v>
      </c>
      <c r="B17" s="18">
        <v>357058</v>
      </c>
      <c r="C17" s="18">
        <v>258806</v>
      </c>
    </row>
    <row r="18" spans="1:3" x14ac:dyDescent="0.3">
      <c r="A18" s="19" t="s">
        <v>18</v>
      </c>
      <c r="B18" s="20">
        <v>201794</v>
      </c>
      <c r="C18" s="20">
        <v>161525</v>
      </c>
    </row>
    <row r="19" spans="1:3" x14ac:dyDescent="0.3">
      <c r="A19" s="17" t="s">
        <v>19</v>
      </c>
      <c r="B19" s="24">
        <f>B7-SUM(B15:B18)</f>
        <v>65077</v>
      </c>
      <c r="C19" s="24">
        <f>C7-SUM(C15:C18)</f>
        <v>49555</v>
      </c>
    </row>
    <row r="20" spans="1:3" x14ac:dyDescent="0.3">
      <c r="A20" s="21" t="s">
        <v>20</v>
      </c>
      <c r="B20" s="22">
        <f>SUM(B15:B19)</f>
        <v>2041532</v>
      </c>
      <c r="C20" s="22">
        <f>SUM(C15:C19)</f>
        <v>1636677</v>
      </c>
    </row>
    <row r="22" spans="1:3" ht="19.5" customHeight="1" x14ac:dyDescent="0.3">
      <c r="A22" s="13" t="s">
        <v>21</v>
      </c>
      <c r="B22" s="13"/>
      <c r="C22" s="13"/>
    </row>
    <row r="23" spans="1:3" x14ac:dyDescent="0.3">
      <c r="A23" s="21" t="s">
        <v>22</v>
      </c>
      <c r="B23" s="25">
        <v>2069538</v>
      </c>
      <c r="C23" s="25">
        <v>1718019</v>
      </c>
    </row>
    <row r="24" spans="1:3" x14ac:dyDescent="0.3">
      <c r="A24" s="17" t="s">
        <v>23</v>
      </c>
      <c r="B24" s="18">
        <v>368688</v>
      </c>
      <c r="C24" s="18">
        <v>327023</v>
      </c>
    </row>
    <row r="25" spans="1:3" x14ac:dyDescent="0.3">
      <c r="A25" s="19" t="s">
        <v>24</v>
      </c>
      <c r="B25" s="20">
        <v>258281</v>
      </c>
      <c r="C25" s="20">
        <v>222750</v>
      </c>
    </row>
    <row r="26" spans="1:3" x14ac:dyDescent="0.3">
      <c r="A26" s="17" t="s">
        <v>25</v>
      </c>
      <c r="B26" s="18">
        <v>68737</v>
      </c>
      <c r="C26" s="18">
        <v>45438</v>
      </c>
    </row>
    <row r="27" spans="1:3" x14ac:dyDescent="0.3">
      <c r="A27" s="19" t="s">
        <v>26</v>
      </c>
      <c r="B27" s="20">
        <v>18424</v>
      </c>
      <c r="C27" s="20">
        <v>40518</v>
      </c>
    </row>
    <row r="28" spans="1:3" x14ac:dyDescent="0.3">
      <c r="A28" s="21" t="s">
        <v>27</v>
      </c>
      <c r="B28" s="25">
        <v>1522346</v>
      </c>
      <c r="C28" s="25">
        <v>1284520</v>
      </c>
    </row>
    <row r="29" spans="1:3" x14ac:dyDescent="0.3">
      <c r="A29" s="17" t="s">
        <v>28</v>
      </c>
      <c r="B29" s="18">
        <v>506763</v>
      </c>
      <c r="C29" s="18">
        <v>396018</v>
      </c>
    </row>
    <row r="30" spans="1:3" x14ac:dyDescent="0.3">
      <c r="A30" s="19" t="s">
        <v>29</v>
      </c>
      <c r="B30" s="20">
        <v>134960</v>
      </c>
      <c r="C30" s="20">
        <v>100764</v>
      </c>
    </row>
    <row r="31" spans="1:3" x14ac:dyDescent="0.3">
      <c r="A31" s="21" t="s">
        <v>30</v>
      </c>
      <c r="B31" s="25">
        <v>547192</v>
      </c>
      <c r="C31" s="25">
        <v>433499</v>
      </c>
    </row>
    <row r="33" spans="1:3" ht="19.5" customHeight="1" x14ac:dyDescent="0.3">
      <c r="A33" s="13" t="s">
        <v>31</v>
      </c>
      <c r="B33" s="13"/>
      <c r="C33" s="13"/>
    </row>
    <row r="34" spans="1:3" x14ac:dyDescent="0.3">
      <c r="A34" s="21" t="s">
        <v>32</v>
      </c>
      <c r="B34" s="25">
        <v>551768</v>
      </c>
      <c r="C34" s="25">
        <v>415428</v>
      </c>
    </row>
    <row r="35" spans="1:3" x14ac:dyDescent="0.3">
      <c r="A35" s="17" t="s">
        <v>33</v>
      </c>
      <c r="B35" s="18">
        <v>204781</v>
      </c>
      <c r="C35" s="18">
        <v>132709</v>
      </c>
    </row>
    <row r="36" spans="1:3" x14ac:dyDescent="0.3">
      <c r="A36" s="23" t="s">
        <v>34</v>
      </c>
      <c r="B36" s="26">
        <f>B34-B35</f>
        <v>346987</v>
      </c>
      <c r="C36" s="26">
        <f>C34-C35</f>
        <v>282719</v>
      </c>
    </row>
    <row r="38" spans="1:3" ht="19.5" customHeight="1" x14ac:dyDescent="0.3">
      <c r="A38" s="13" t="s">
        <v>35</v>
      </c>
      <c r="B38" s="13"/>
      <c r="C38" s="13"/>
    </row>
    <row r="39" spans="1:3" x14ac:dyDescent="0.3">
      <c r="A39" s="17" t="s">
        <v>36</v>
      </c>
      <c r="B39" s="18">
        <v>627714</v>
      </c>
    </row>
    <row r="40" spans="1:3" x14ac:dyDescent="0.3">
      <c r="A40" s="19" t="s">
        <v>37</v>
      </c>
      <c r="B40" s="20">
        <v>305243</v>
      </c>
    </row>
    <row r="41" spans="1:3" x14ac:dyDescent="0.3">
      <c r="A41" s="17" t="s">
        <v>38</v>
      </c>
      <c r="B41" s="18">
        <v>141602</v>
      </c>
    </row>
    <row r="42" spans="1:3" x14ac:dyDescent="0.3">
      <c r="A42" s="19" t="s">
        <v>39</v>
      </c>
      <c r="B42" s="20">
        <v>6085</v>
      </c>
    </row>
    <row r="43" spans="1:3" x14ac:dyDescent="0.3">
      <c r="A43" s="21" t="s">
        <v>40</v>
      </c>
      <c r="B43" s="22">
        <f>SUM(B39:B42)</f>
        <v>1080644</v>
      </c>
    </row>
    <row r="44" spans="1:3" x14ac:dyDescent="0.3">
      <c r="A44" s="21" t="s">
        <v>41</v>
      </c>
      <c r="B44" s="22">
        <f>B43-B27</f>
        <v>1062220</v>
      </c>
    </row>
    <row r="46" spans="1:3" x14ac:dyDescent="0.3">
      <c r="A46" s="15" t="s">
        <v>42</v>
      </c>
    </row>
  </sheetData>
  <mergeCells count="6">
    <mergeCell ref="A38:C38"/>
    <mergeCell ref="A1:C1"/>
    <mergeCell ref="A4:C4"/>
    <mergeCell ref="A14:C14"/>
    <mergeCell ref="A22:C22"/>
    <mergeCell ref="A33:C3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F47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F1"/>
    </sheetView>
  </sheetViews>
  <sheetFormatPr defaultColWidth="8.6640625" defaultRowHeight="14.4" x14ac:dyDescent="0.3"/>
  <cols>
    <col min="1" max="1" width="36" customWidth="1"/>
    <col min="2" max="2" width="32" customWidth="1"/>
    <col min="3" max="5" width="14" customWidth="1"/>
    <col min="6" max="6" width="16" customWidth="1"/>
  </cols>
  <sheetData>
    <row r="1" spans="1:6" ht="27.75" customHeight="1" x14ac:dyDescent="0.3">
      <c r="A1" s="14" t="s">
        <v>43</v>
      </c>
      <c r="B1" s="14"/>
      <c r="C1" s="14"/>
      <c r="D1" s="14"/>
      <c r="E1" s="14"/>
      <c r="F1" s="14"/>
    </row>
    <row r="2" spans="1:6" x14ac:dyDescent="0.3">
      <c r="B2" s="15" t="s">
        <v>44</v>
      </c>
    </row>
    <row r="3" spans="1:6" x14ac:dyDescent="0.3">
      <c r="A3" s="16" t="s">
        <v>45</v>
      </c>
      <c r="B3" s="16" t="s">
        <v>46</v>
      </c>
      <c r="C3" s="16" t="s">
        <v>3</v>
      </c>
      <c r="D3" s="16" t="s">
        <v>4</v>
      </c>
      <c r="E3" s="16" t="s">
        <v>47</v>
      </c>
      <c r="F3" s="16" t="s">
        <v>48</v>
      </c>
    </row>
    <row r="4" spans="1:6" ht="19.5" customHeight="1" x14ac:dyDescent="0.3">
      <c r="A4" s="13" t="s">
        <v>49</v>
      </c>
      <c r="B4" s="13"/>
      <c r="C4" s="13"/>
      <c r="D4" s="13"/>
      <c r="E4" s="13"/>
      <c r="F4" s="13"/>
    </row>
    <row r="5" spans="1:6" ht="34.200000000000003" x14ac:dyDescent="0.3">
      <c r="A5" s="27" t="s">
        <v>50</v>
      </c>
      <c r="B5" s="15" t="s">
        <v>51</v>
      </c>
      <c r="C5" s="28">
        <f>RAW_DATA!B24/RAW_DATA!B29</f>
        <v>0.72753535676440462</v>
      </c>
      <c r="D5" s="28">
        <f>RAW_DATA!C24/RAW_DATA!C29</f>
        <v>0.82577812119651128</v>
      </c>
      <c r="E5" s="29">
        <f>C5-D5</f>
        <v>-9.8242764432106666E-2</v>
      </c>
      <c r="F5" s="30" t="s">
        <v>52</v>
      </c>
    </row>
    <row r="6" spans="1:6" ht="22.8" x14ac:dyDescent="0.3">
      <c r="A6" s="27" t="s">
        <v>53</v>
      </c>
      <c r="B6" s="15" t="s">
        <v>54</v>
      </c>
      <c r="C6" s="28">
        <f>(RAW_DATA!B24-RAW_DATA!B26)/RAW_DATA!B29</f>
        <v>0.59189601450776796</v>
      </c>
      <c r="D6" s="28">
        <f>(RAW_DATA!C24-RAW_DATA!C26)/RAW_DATA!C29</f>
        <v>0.71104091228176503</v>
      </c>
      <c r="E6" s="29">
        <f>C6-D6</f>
        <v>-0.11914489777399706</v>
      </c>
      <c r="F6" s="30" t="s">
        <v>55</v>
      </c>
    </row>
    <row r="7" spans="1:6" ht="22.8" x14ac:dyDescent="0.3">
      <c r="A7" s="27" t="s">
        <v>56</v>
      </c>
      <c r="B7" s="15" t="s">
        <v>57</v>
      </c>
      <c r="C7" s="28">
        <f>RAW_DATA!B27/RAW_DATA!B29</f>
        <v>3.6356245424389706E-2</v>
      </c>
      <c r="D7" s="28">
        <f>RAW_DATA!C27/RAW_DATA!C29</f>
        <v>0.10231353120312713</v>
      </c>
      <c r="E7" s="29">
        <f>C7-D7</f>
        <v>-6.5957285778737412E-2</v>
      </c>
      <c r="F7" s="30" t="s">
        <v>58</v>
      </c>
    </row>
    <row r="9" spans="1:6" ht="19.5" customHeight="1" x14ac:dyDescent="0.3">
      <c r="A9" s="13" t="s">
        <v>59</v>
      </c>
      <c r="B9" s="13"/>
      <c r="C9" s="13"/>
      <c r="D9" s="13"/>
      <c r="E9" s="13"/>
      <c r="F9" s="13"/>
    </row>
    <row r="10" spans="1:6" ht="34.200000000000003" x14ac:dyDescent="0.3">
      <c r="A10" s="31" t="s">
        <v>60</v>
      </c>
      <c r="B10" s="15" t="s">
        <v>61</v>
      </c>
      <c r="C10" s="32">
        <f>RAW_DATA!B28/RAW_DATA!B31</f>
        <v>2.7821057325399492</v>
      </c>
      <c r="D10" s="32">
        <f>RAW_DATA!C28/RAW_DATA!C31</f>
        <v>2.9631440902977864</v>
      </c>
      <c r="E10" s="33">
        <f>C10-D10</f>
        <v>-0.18103835775783716</v>
      </c>
      <c r="F10" s="34" t="s">
        <v>62</v>
      </c>
    </row>
    <row r="11" spans="1:6" ht="34.200000000000003" x14ac:dyDescent="0.3">
      <c r="A11" s="31" t="s">
        <v>63</v>
      </c>
      <c r="B11" s="15" t="s">
        <v>64</v>
      </c>
      <c r="C11" s="32">
        <f>RAW_DATA!B28/RAW_DATA!B23</f>
        <v>0.73559702696930429</v>
      </c>
      <c r="D11" s="32">
        <f>RAW_DATA!C28/RAW_DATA!C23</f>
        <v>0.74767508391932802</v>
      </c>
      <c r="E11" s="33">
        <f>C11-D11</f>
        <v>-1.207805695002373E-2</v>
      </c>
      <c r="F11" s="34" t="s">
        <v>65</v>
      </c>
    </row>
    <row r="12" spans="1:6" ht="34.200000000000003" x14ac:dyDescent="0.3">
      <c r="A12" s="35" t="s">
        <v>66</v>
      </c>
      <c r="B12" s="15" t="s">
        <v>67</v>
      </c>
      <c r="C12" s="36">
        <f>RAW_DATA!B8/RAW_DATA!B9</f>
        <v>5.557667731629393</v>
      </c>
      <c r="D12" s="36">
        <f>RAW_DATA!C8/RAW_DATA!C9</f>
        <v>5.8920808130109643</v>
      </c>
      <c r="E12" s="37">
        <f>C12-D12</f>
        <v>-0.33441308138157133</v>
      </c>
      <c r="F12" s="38" t="s">
        <v>68</v>
      </c>
    </row>
    <row r="13" spans="1:6" ht="22.8" x14ac:dyDescent="0.3">
      <c r="A13" s="19" t="s">
        <v>69</v>
      </c>
      <c r="B13" s="15" t="s">
        <v>70</v>
      </c>
      <c r="C13" s="39">
        <f>RAW_DATA!B44</f>
        <v>1062220</v>
      </c>
      <c r="D13" s="40" t="s">
        <v>71</v>
      </c>
      <c r="F13" s="41" t="s">
        <v>72</v>
      </c>
    </row>
    <row r="15" spans="1:6" ht="19.5" customHeight="1" x14ac:dyDescent="0.3">
      <c r="A15" s="13" t="s">
        <v>73</v>
      </c>
      <c r="B15" s="13"/>
      <c r="C15" s="13"/>
      <c r="D15" s="13"/>
      <c r="E15" s="13"/>
      <c r="F15" s="13"/>
    </row>
    <row r="16" spans="1:6" ht="34.200000000000003" x14ac:dyDescent="0.3">
      <c r="A16" s="31" t="s">
        <v>74</v>
      </c>
      <c r="B16" s="15" t="s">
        <v>75</v>
      </c>
      <c r="C16" s="42">
        <f>RAW_DATA!B12/RAW_DATA!B5</f>
        <v>0.1086403589014079</v>
      </c>
      <c r="D16" s="42">
        <f>RAW_DATA!C12/RAW_DATA!C5</f>
        <v>0.11894436675799311</v>
      </c>
      <c r="E16" s="43">
        <f t="shared" ref="E16:E22" si="0">C16-D16</f>
        <v>-1.0304007856585209E-2</v>
      </c>
      <c r="F16" s="34" t="s">
        <v>76</v>
      </c>
    </row>
    <row r="17" spans="1:6" ht="34.200000000000003" x14ac:dyDescent="0.3">
      <c r="A17" s="31" t="s">
        <v>77</v>
      </c>
      <c r="B17" s="15" t="s">
        <v>78</v>
      </c>
      <c r="C17" s="42">
        <f>RAW_DATA!B8/RAW_DATA!B5</f>
        <v>0.15876633034179685</v>
      </c>
      <c r="D17" s="42">
        <f>RAW_DATA!C8/RAW_DATA!C5</f>
        <v>0.17332590825204458</v>
      </c>
      <c r="E17" s="43">
        <f t="shared" si="0"/>
        <v>-1.4559577910247729E-2</v>
      </c>
      <c r="F17" s="34" t="s">
        <v>79</v>
      </c>
    </row>
    <row r="18" spans="1:6" ht="34.200000000000003" x14ac:dyDescent="0.3">
      <c r="A18" s="31" t="s">
        <v>80</v>
      </c>
      <c r="B18" s="15" t="s">
        <v>81</v>
      </c>
      <c r="C18" s="42">
        <f>(RAW_DATA!B5-RAW_DATA!B7)/RAW_DATA!B5</f>
        <v>0.15305540378690105</v>
      </c>
      <c r="D18" s="42">
        <f>(RAW_DATA!C5-RAW_DATA!C7)/RAW_DATA!C5</f>
        <v>0.16074172870045181</v>
      </c>
      <c r="E18" s="43">
        <f t="shared" si="0"/>
        <v>-7.6863249135507572E-3</v>
      </c>
      <c r="F18" s="34" t="s">
        <v>82</v>
      </c>
    </row>
    <row r="19" spans="1:6" x14ac:dyDescent="0.3">
      <c r="A19" s="35" t="s">
        <v>83</v>
      </c>
      <c r="B19" s="15" t="s">
        <v>84</v>
      </c>
      <c r="C19" s="44">
        <f>RAW_DATA!B8+RAW_DATA!B18</f>
        <v>584495</v>
      </c>
      <c r="D19" s="44">
        <f>RAW_DATA!C8+RAW_DATA!C18</f>
        <v>499536</v>
      </c>
      <c r="E19" s="45">
        <f t="shared" si="0"/>
        <v>84959</v>
      </c>
      <c r="F19" s="38" t="s">
        <v>85</v>
      </c>
    </row>
    <row r="20" spans="1:6" ht="22.8" x14ac:dyDescent="0.3">
      <c r="A20" s="31" t="s">
        <v>86</v>
      </c>
      <c r="B20" s="15" t="s">
        <v>87</v>
      </c>
      <c r="C20" s="42">
        <f>(RAW_DATA!B8+RAW_DATA!B18)/RAW_DATA!B5</f>
        <v>0.24248205845589257</v>
      </c>
      <c r="D20" s="42">
        <f>(RAW_DATA!C8+RAW_DATA!C18)/RAW_DATA!C5</f>
        <v>0.25615299769709671</v>
      </c>
      <c r="E20" s="43">
        <f t="shared" si="0"/>
        <v>-1.3670939241204133E-2</v>
      </c>
      <c r="F20" s="34" t="s">
        <v>88</v>
      </c>
    </row>
    <row r="21" spans="1:6" ht="34.200000000000003" x14ac:dyDescent="0.3">
      <c r="A21" s="31" t="s">
        <v>89</v>
      </c>
      <c r="B21" s="15" t="s">
        <v>90</v>
      </c>
      <c r="C21" s="42">
        <f>RAW_DATA!B12/RAW_DATA!B23</f>
        <v>0.1265374204291006</v>
      </c>
      <c r="D21" s="42">
        <f>RAW_DATA!C12/RAW_DATA!C23</f>
        <v>0.13501538690782813</v>
      </c>
      <c r="E21" s="43">
        <f t="shared" si="0"/>
        <v>-8.4779664787275333E-3</v>
      </c>
      <c r="F21" s="34" t="s">
        <v>91</v>
      </c>
    </row>
    <row r="22" spans="1:6" ht="22.8" x14ac:dyDescent="0.3">
      <c r="A22" s="35" t="s">
        <v>92</v>
      </c>
      <c r="B22" s="15" t="s">
        <v>93</v>
      </c>
      <c r="C22" s="46">
        <f>RAW_DATA!B12/RAW_DATA!B31</f>
        <v>0.47857790318571908</v>
      </c>
      <c r="D22" s="46">
        <f>RAW_DATA!C12/RAW_DATA!C31</f>
        <v>0.53508543272302822</v>
      </c>
      <c r="E22" s="47">
        <f t="shared" si="0"/>
        <v>-5.6507529537309142E-2</v>
      </c>
      <c r="F22" s="38" t="s">
        <v>94</v>
      </c>
    </row>
    <row r="24" spans="1:6" ht="19.5" customHeight="1" x14ac:dyDescent="0.3">
      <c r="A24" s="13" t="s">
        <v>95</v>
      </c>
      <c r="B24" s="13"/>
      <c r="C24" s="13"/>
      <c r="D24" s="13"/>
      <c r="E24" s="13"/>
      <c r="F24" s="13"/>
    </row>
    <row r="25" spans="1:6" ht="22.8" x14ac:dyDescent="0.3">
      <c r="A25" s="35" t="s">
        <v>96</v>
      </c>
      <c r="B25" s="15" t="s">
        <v>97</v>
      </c>
      <c r="C25" s="36">
        <f>RAW_DATA!B34/RAW_DATA!B12</f>
        <v>2.106998021949487</v>
      </c>
      <c r="D25" s="36">
        <f>RAW_DATA!C34/RAW_DATA!C12</f>
        <v>1.7909544359132432</v>
      </c>
      <c r="E25" s="37">
        <f>C25-D25</f>
        <v>0.31604358603624383</v>
      </c>
      <c r="F25" s="38" t="s">
        <v>98</v>
      </c>
    </row>
    <row r="26" spans="1:6" ht="34.200000000000003" x14ac:dyDescent="0.3">
      <c r="A26" s="35" t="s">
        <v>99</v>
      </c>
      <c r="B26" s="15" t="s">
        <v>100</v>
      </c>
      <c r="C26" s="46">
        <f>RAW_DATA!B34/RAW_DATA!B5</f>
        <v>0.2289050213091488</v>
      </c>
      <c r="D26" s="46">
        <f>RAW_DATA!C34/RAW_DATA!C5</f>
        <v>0.21302394127211949</v>
      </c>
      <c r="E26" s="47">
        <f>C26-D26</f>
        <v>1.5881080037029316E-2</v>
      </c>
      <c r="F26" s="38" t="s">
        <v>101</v>
      </c>
    </row>
    <row r="27" spans="1:6" ht="22.8" x14ac:dyDescent="0.3">
      <c r="A27" s="35" t="s">
        <v>102</v>
      </c>
      <c r="B27" s="15" t="s">
        <v>103</v>
      </c>
      <c r="C27" s="44">
        <f>RAW_DATA!B36</f>
        <v>346987</v>
      </c>
      <c r="D27" s="44">
        <f>RAW_DATA!C36</f>
        <v>282719</v>
      </c>
      <c r="E27" s="45">
        <f>C27-D27</f>
        <v>64268</v>
      </c>
      <c r="F27" s="38" t="s">
        <v>104</v>
      </c>
    </row>
    <row r="28" spans="1:6" ht="34.200000000000003" x14ac:dyDescent="0.3">
      <c r="A28" s="19" t="s">
        <v>105</v>
      </c>
      <c r="B28" s="15" t="s">
        <v>106</v>
      </c>
      <c r="C28" s="48">
        <f>RAW_DATA!B35/RAW_DATA!B5</f>
        <v>8.4954907078171993E-2</v>
      </c>
      <c r="D28" s="48">
        <f>RAW_DATA!C35/RAW_DATA!C5</f>
        <v>6.8050767454966216E-2</v>
      </c>
      <c r="E28" s="49">
        <f>C28-D28</f>
        <v>1.6904139623205777E-2</v>
      </c>
      <c r="F28" s="41" t="s">
        <v>107</v>
      </c>
    </row>
    <row r="29" spans="1:6" ht="22.8" x14ac:dyDescent="0.3">
      <c r="A29" s="35" t="s">
        <v>108</v>
      </c>
      <c r="B29" s="15" t="s">
        <v>109</v>
      </c>
      <c r="C29" s="46">
        <f>RAW_DATA!B36/RAW_DATA!B5</f>
        <v>0.14395011423097681</v>
      </c>
      <c r="D29" s="46">
        <f>RAW_DATA!C36/RAW_DATA!C5</f>
        <v>0.14497317381715327</v>
      </c>
      <c r="E29" s="47">
        <f>C29-D29</f>
        <v>-1.0230595861764613E-3</v>
      </c>
      <c r="F29" s="38" t="s">
        <v>110</v>
      </c>
    </row>
    <row r="31" spans="1:6" ht="19.5" customHeight="1" x14ac:dyDescent="0.3">
      <c r="A31" s="13" t="s">
        <v>111</v>
      </c>
      <c r="B31" s="13"/>
      <c r="C31" s="13"/>
      <c r="D31" s="13"/>
      <c r="E31" s="13"/>
      <c r="F31" s="13"/>
    </row>
    <row r="32" spans="1:6" ht="34.200000000000003" x14ac:dyDescent="0.3">
      <c r="A32" s="35" t="s">
        <v>112</v>
      </c>
      <c r="B32" s="15" t="s">
        <v>113</v>
      </c>
      <c r="C32" s="44">
        <f>RAW_DATA!B25/RAW_DATA!B5*365</f>
        <v>39.109668375464175</v>
      </c>
      <c r="D32" s="44">
        <f>RAW_DATA!C25/RAW_DATA!C5*365</f>
        <v>41.691087902604266</v>
      </c>
      <c r="F32" s="38" t="s">
        <v>114</v>
      </c>
    </row>
    <row r="33" spans="1:6" ht="34.200000000000003" x14ac:dyDescent="0.3">
      <c r="A33" s="19" t="s">
        <v>115</v>
      </c>
      <c r="B33" s="15" t="s">
        <v>116</v>
      </c>
      <c r="C33" s="39">
        <f>RAW_DATA!B26/RAW_DATA!B7*365</f>
        <v>12.289302837281022</v>
      </c>
      <c r="D33" s="39">
        <f>RAW_DATA!C26/RAW_DATA!C7*365</f>
        <v>10.133257814461864</v>
      </c>
      <c r="F33" s="41" t="s">
        <v>117</v>
      </c>
    </row>
    <row r="34" spans="1:6" x14ac:dyDescent="0.3">
      <c r="A34" s="19" t="s">
        <v>118</v>
      </c>
      <c r="B34" s="15" t="s">
        <v>119</v>
      </c>
      <c r="C34" s="39">
        <f>RAW_DATA!B30/RAW_DATA!B7*365</f>
        <v>24.129134395150306</v>
      </c>
      <c r="D34" s="39">
        <f>RAW_DATA!C30/RAW_DATA!C7*365</f>
        <v>22.471666675831578</v>
      </c>
      <c r="F34" s="41" t="s">
        <v>120</v>
      </c>
    </row>
    <row r="35" spans="1:6" ht="22.8" x14ac:dyDescent="0.3">
      <c r="A35" s="35" t="s">
        <v>121</v>
      </c>
      <c r="B35" s="15" t="s">
        <v>122</v>
      </c>
      <c r="C35" s="45">
        <f>C32+C33-C34</f>
        <v>27.269836817594889</v>
      </c>
      <c r="D35" s="45">
        <f>D32+D33-D34</f>
        <v>29.352679041234552</v>
      </c>
      <c r="F35" s="38" t="s">
        <v>123</v>
      </c>
    </row>
    <row r="36" spans="1:6" x14ac:dyDescent="0.3">
      <c r="A36" s="19" t="s">
        <v>124</v>
      </c>
      <c r="B36" s="15" t="s">
        <v>125</v>
      </c>
      <c r="C36" s="39">
        <f>RAW_DATA!B25+RAW_DATA!B26-RAW_DATA!B30</f>
        <v>192058</v>
      </c>
      <c r="F36" s="41" t="s">
        <v>126</v>
      </c>
    </row>
    <row r="37" spans="1:6" x14ac:dyDescent="0.3">
      <c r="A37" s="19" t="s">
        <v>127</v>
      </c>
      <c r="B37" s="15" t="s">
        <v>125</v>
      </c>
      <c r="D37" s="39">
        <f>RAW_DATA!C25+RAW_DATA!C26-RAW_DATA!C30</f>
        <v>167424</v>
      </c>
      <c r="F37" s="41" t="s">
        <v>128</v>
      </c>
    </row>
    <row r="38" spans="1:6" ht="34.200000000000003" x14ac:dyDescent="0.3">
      <c r="A38" s="19" t="s">
        <v>129</v>
      </c>
      <c r="B38" s="15" t="s">
        <v>130</v>
      </c>
      <c r="C38" s="50">
        <f>C36-C37</f>
        <v>192058</v>
      </c>
      <c r="F38" s="41" t="s">
        <v>131</v>
      </c>
    </row>
    <row r="39" spans="1:6" ht="34.200000000000003" x14ac:dyDescent="0.3">
      <c r="A39" s="35" t="s">
        <v>132</v>
      </c>
      <c r="B39" s="15" t="s">
        <v>133</v>
      </c>
      <c r="C39" s="44">
        <f>RAW_DATA!B8-C38</f>
        <v>190643</v>
      </c>
      <c r="F39" s="38" t="s">
        <v>134</v>
      </c>
    </row>
    <row r="41" spans="1:6" ht="19.5" customHeight="1" x14ac:dyDescent="0.3">
      <c r="A41" s="13" t="s">
        <v>135</v>
      </c>
      <c r="B41" s="13"/>
      <c r="C41" s="13"/>
      <c r="D41" s="13"/>
      <c r="E41" s="13"/>
      <c r="F41" s="13"/>
    </row>
    <row r="42" spans="1:6" ht="34.200000000000003" x14ac:dyDescent="0.3">
      <c r="A42" s="35" t="s">
        <v>136</v>
      </c>
      <c r="C42" s="46">
        <f>(RAW_DATA!B5-RAW_DATA!C5)/RAW_DATA!C5</f>
        <v>0.23604374439465334</v>
      </c>
      <c r="F42" s="38" t="s">
        <v>137</v>
      </c>
    </row>
    <row r="43" spans="1:6" ht="34.200000000000003" x14ac:dyDescent="0.3">
      <c r="A43" s="31" t="s">
        <v>138</v>
      </c>
      <c r="C43" s="42">
        <f>(RAW_DATA!B8-RAW_DATA!C8)/RAW_DATA!C8</f>
        <v>0.13221463206818712</v>
      </c>
      <c r="F43" s="34" t="s">
        <v>139</v>
      </c>
    </row>
    <row r="44" spans="1:6" ht="34.200000000000003" x14ac:dyDescent="0.3">
      <c r="A44" s="31" t="s">
        <v>140</v>
      </c>
      <c r="C44" s="42">
        <f>(RAW_DATA!B12-RAW_DATA!C12)/RAW_DATA!C12</f>
        <v>0.12896675705620389</v>
      </c>
      <c r="F44" s="34" t="s">
        <v>141</v>
      </c>
    </row>
    <row r="45" spans="1:6" ht="34.200000000000003" x14ac:dyDescent="0.3">
      <c r="A45" s="35" t="s">
        <v>142</v>
      </c>
      <c r="C45" s="46">
        <f>(RAW_DATA!B34-RAW_DATA!C34)/RAW_DATA!C34</f>
        <v>0.32819164813156554</v>
      </c>
      <c r="F45" s="38" t="s">
        <v>143</v>
      </c>
    </row>
    <row r="46" spans="1:6" ht="34.200000000000003" x14ac:dyDescent="0.3">
      <c r="A46" s="27" t="s">
        <v>144</v>
      </c>
      <c r="C46" s="51">
        <f>(RAW_DATA!B7-RAW_DATA!C7)/RAW_DATA!C7</f>
        <v>0.24736401867931179</v>
      </c>
      <c r="F46" s="30" t="s">
        <v>145</v>
      </c>
    </row>
    <row r="47" spans="1:6" ht="34.200000000000003" x14ac:dyDescent="0.3">
      <c r="A47" s="31" t="s">
        <v>146</v>
      </c>
      <c r="C47" s="42">
        <f>((RAW_DATA!B8+RAW_DATA!B18)-(RAW_DATA!C8+RAW_DATA!C18))/(RAW_DATA!C8+RAW_DATA!C18)</f>
        <v>0.17007583037058391</v>
      </c>
      <c r="F47" s="34" t="s">
        <v>147</v>
      </c>
    </row>
  </sheetData>
  <mergeCells count="7">
    <mergeCell ref="A31:F31"/>
    <mergeCell ref="A41:F41"/>
    <mergeCell ref="A1:F1"/>
    <mergeCell ref="A4:F4"/>
    <mergeCell ref="A9:F9"/>
    <mergeCell ref="A15:F15"/>
    <mergeCell ref="A24:F24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6600"/>
  </sheetPr>
  <dimension ref="A1:G20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G1"/>
    </sheetView>
  </sheetViews>
  <sheetFormatPr defaultColWidth="8.6640625" defaultRowHeight="14.4" x14ac:dyDescent="0.3"/>
  <cols>
    <col min="1" max="1" width="34" customWidth="1"/>
    <col min="2" max="3" width="16" customWidth="1"/>
    <col min="4" max="6" width="14" customWidth="1"/>
    <col min="7" max="7" width="26" customWidth="1"/>
  </cols>
  <sheetData>
    <row r="1" spans="1:7" ht="27.75" customHeight="1" x14ac:dyDescent="0.3">
      <c r="A1" s="14" t="s">
        <v>148</v>
      </c>
      <c r="B1" s="14"/>
      <c r="C1" s="14"/>
      <c r="D1" s="14"/>
      <c r="E1" s="14"/>
      <c r="F1" s="14"/>
      <c r="G1" s="14"/>
    </row>
    <row r="3" spans="1:7" x14ac:dyDescent="0.3">
      <c r="A3" s="16" t="s">
        <v>149</v>
      </c>
      <c r="B3" s="16" t="s">
        <v>150</v>
      </c>
      <c r="C3" s="16" t="s">
        <v>151</v>
      </c>
      <c r="D3" s="16" t="s">
        <v>152</v>
      </c>
      <c r="E3" s="16" t="s">
        <v>153</v>
      </c>
      <c r="F3" s="16" t="s">
        <v>154</v>
      </c>
      <c r="G3" s="16" t="s">
        <v>155</v>
      </c>
    </row>
    <row r="4" spans="1:7" x14ac:dyDescent="0.3">
      <c r="A4" s="52" t="s">
        <v>156</v>
      </c>
      <c r="B4" s="53">
        <f>RAW_DATA!B5</f>
        <v>2410467</v>
      </c>
      <c r="C4" s="53">
        <f>RAW_DATA!C5</f>
        <v>1950147</v>
      </c>
      <c r="D4" s="54">
        <f>B4/B4</f>
        <v>1</v>
      </c>
      <c r="E4" s="54">
        <f>C4/C4</f>
        <v>1</v>
      </c>
      <c r="F4" s="54">
        <f t="shared" ref="F4:F13" si="0">IF(C4&lt;&gt;0,(B4-C4)/C4,0)</f>
        <v>0.23604374439465334</v>
      </c>
      <c r="G4" s="38" t="s">
        <v>157</v>
      </c>
    </row>
    <row r="5" spans="1:7" ht="22.8" x14ac:dyDescent="0.3">
      <c r="A5" s="17" t="s">
        <v>15</v>
      </c>
      <c r="B5" s="55">
        <f>RAW_DATA!B15</f>
        <v>917838</v>
      </c>
      <c r="C5" s="55">
        <f>RAW_DATA!C15</f>
        <v>754966</v>
      </c>
      <c r="D5" s="56">
        <f>B5/B4</f>
        <v>0.38077185873110897</v>
      </c>
      <c r="E5" s="56">
        <f>C5/C4</f>
        <v>0.38713286741973812</v>
      </c>
      <c r="F5" s="56">
        <f t="shared" si="0"/>
        <v>0.21573421849460769</v>
      </c>
      <c r="G5" s="57" t="s">
        <v>158</v>
      </c>
    </row>
    <row r="6" spans="1:7" x14ac:dyDescent="0.3">
      <c r="A6" s="19" t="s">
        <v>16</v>
      </c>
      <c r="B6" s="39">
        <f>RAW_DATA!B16</f>
        <v>499765</v>
      </c>
      <c r="C6" s="39">
        <f>RAW_DATA!C16</f>
        <v>411825</v>
      </c>
      <c r="D6" s="49">
        <f>B6/B4</f>
        <v>0.20733119349901907</v>
      </c>
      <c r="E6" s="49">
        <f>C6/C4</f>
        <v>0.21117638824150178</v>
      </c>
      <c r="F6" s="49">
        <f t="shared" si="0"/>
        <v>0.21353730346627814</v>
      </c>
      <c r="G6" s="41" t="s">
        <v>159</v>
      </c>
    </row>
    <row r="7" spans="1:7" ht="22.8" x14ac:dyDescent="0.3">
      <c r="A7" s="31" t="s">
        <v>17</v>
      </c>
      <c r="B7" s="58">
        <f>RAW_DATA!B17</f>
        <v>357058</v>
      </c>
      <c r="C7" s="58">
        <f>RAW_DATA!C17</f>
        <v>258806</v>
      </c>
      <c r="D7" s="43">
        <f>B7/B4</f>
        <v>0.14812814280386333</v>
      </c>
      <c r="E7" s="43">
        <f>C7/C4</f>
        <v>0.13271102127172976</v>
      </c>
      <c r="F7" s="43">
        <f t="shared" si="0"/>
        <v>0.37963571169138272</v>
      </c>
      <c r="G7" s="34" t="s">
        <v>160</v>
      </c>
    </row>
    <row r="8" spans="1:7" ht="34.200000000000003" x14ac:dyDescent="0.3">
      <c r="A8" s="19" t="s">
        <v>161</v>
      </c>
      <c r="B8" s="20">
        <v>185641</v>
      </c>
      <c r="C8" s="20">
        <v>115523</v>
      </c>
      <c r="D8" s="49">
        <f>B8/B4</f>
        <v>7.7014537017100843E-2</v>
      </c>
      <c r="E8" s="49">
        <f>C8/C4</f>
        <v>5.9238098461295484E-2</v>
      </c>
      <c r="F8" s="49">
        <f t="shared" si="0"/>
        <v>0.60696138431308055</v>
      </c>
      <c r="G8" s="41" t="s">
        <v>162</v>
      </c>
    </row>
    <row r="9" spans="1:7" x14ac:dyDescent="0.3">
      <c r="A9" s="17" t="s">
        <v>163</v>
      </c>
      <c r="B9" s="18">
        <v>69448</v>
      </c>
      <c r="C9" s="18">
        <v>52234</v>
      </c>
      <c r="D9" s="56">
        <f>B9/B4</f>
        <v>2.8811014629115436E-2</v>
      </c>
      <c r="E9" s="56">
        <f>C9/C4</f>
        <v>2.6784647516315437E-2</v>
      </c>
      <c r="F9" s="56">
        <f t="shared" si="0"/>
        <v>0.32955546195964314</v>
      </c>
      <c r="G9" s="57" t="s">
        <v>164</v>
      </c>
    </row>
    <row r="10" spans="1:7" ht="22.8" x14ac:dyDescent="0.3">
      <c r="A10" s="19" t="s">
        <v>165</v>
      </c>
      <c r="B10" s="20">
        <v>29606</v>
      </c>
      <c r="C10" s="20">
        <v>24499</v>
      </c>
      <c r="D10" s="49">
        <f>B10/B4</f>
        <v>1.2282267295092611E-2</v>
      </c>
      <c r="E10" s="49">
        <f>C10/C4</f>
        <v>1.2562642713600565E-2</v>
      </c>
      <c r="F10" s="49">
        <f t="shared" si="0"/>
        <v>0.20845748806073716</v>
      </c>
      <c r="G10" s="41" t="s">
        <v>166</v>
      </c>
    </row>
    <row r="11" spans="1:7" ht="22.8" x14ac:dyDescent="0.3">
      <c r="A11" s="17" t="s">
        <v>18</v>
      </c>
      <c r="B11" s="55">
        <f>RAW_DATA!B18</f>
        <v>201794</v>
      </c>
      <c r="C11" s="55">
        <f>RAW_DATA!C18</f>
        <v>161525</v>
      </c>
      <c r="D11" s="56">
        <f>B11/B4</f>
        <v>8.3715728114095736E-2</v>
      </c>
      <c r="E11" s="56">
        <f>C11/C4</f>
        <v>8.2827089445052085E-2</v>
      </c>
      <c r="F11" s="56">
        <f t="shared" si="0"/>
        <v>0.24930506113604706</v>
      </c>
      <c r="G11" s="57" t="s">
        <v>167</v>
      </c>
    </row>
    <row r="12" spans="1:7" x14ac:dyDescent="0.3">
      <c r="A12" s="19" t="s">
        <v>168</v>
      </c>
      <c r="B12" s="39">
        <f>RAW_DATA!B19</f>
        <v>65077</v>
      </c>
      <c r="C12" s="39">
        <f>RAW_DATA!C19</f>
        <v>49555</v>
      </c>
      <c r="D12" s="49">
        <f>B12/B4</f>
        <v>2.6997673065011885E-2</v>
      </c>
      <c r="E12" s="49">
        <f>C12/C4</f>
        <v>2.541090492152643E-2</v>
      </c>
      <c r="F12" s="49">
        <f t="shared" si="0"/>
        <v>0.31322772676823729</v>
      </c>
      <c r="G12" s="41"/>
    </row>
    <row r="13" spans="1:7" ht="22.8" x14ac:dyDescent="0.3">
      <c r="A13" s="21" t="s">
        <v>20</v>
      </c>
      <c r="B13" s="59">
        <f>RAW_DATA!B7</f>
        <v>2041532</v>
      </c>
      <c r="C13" s="59">
        <f>RAW_DATA!C7</f>
        <v>1636677</v>
      </c>
      <c r="D13" s="60">
        <f>B13/B4</f>
        <v>0.84694459621309892</v>
      </c>
      <c r="E13" s="60">
        <f>C13/C4</f>
        <v>0.83925827129954822</v>
      </c>
      <c r="F13" s="60">
        <f t="shared" si="0"/>
        <v>0.24736401867931179</v>
      </c>
      <c r="G13" s="61" t="s">
        <v>169</v>
      </c>
    </row>
    <row r="15" spans="1:7" ht="19.5" customHeight="1" x14ac:dyDescent="0.3">
      <c r="A15" s="13" t="s">
        <v>170</v>
      </c>
      <c r="B15" s="13"/>
      <c r="C15" s="13"/>
      <c r="D15" s="13"/>
      <c r="E15" s="13"/>
      <c r="F15" s="13"/>
      <c r="G15" s="13"/>
    </row>
    <row r="16" spans="1:7" ht="30" customHeight="1" x14ac:dyDescent="0.3">
      <c r="A16" s="12" t="s">
        <v>171</v>
      </c>
      <c r="B16" s="12"/>
      <c r="C16" s="12"/>
      <c r="D16" s="12"/>
      <c r="E16" s="12"/>
      <c r="F16" s="12"/>
      <c r="G16" s="12"/>
    </row>
    <row r="17" spans="1:7" ht="30" customHeight="1" x14ac:dyDescent="0.3">
      <c r="A17" s="11" t="s">
        <v>172</v>
      </c>
      <c r="B17" s="11"/>
      <c r="C17" s="11"/>
      <c r="D17" s="11"/>
      <c r="E17" s="11"/>
      <c r="F17" s="11"/>
      <c r="G17" s="11"/>
    </row>
    <row r="18" spans="1:7" ht="30" customHeight="1" x14ac:dyDescent="0.3">
      <c r="A18" s="12" t="s">
        <v>173</v>
      </c>
      <c r="B18" s="12"/>
      <c r="C18" s="12"/>
      <c r="D18" s="12"/>
      <c r="E18" s="12"/>
      <c r="F18" s="12"/>
      <c r="G18" s="12"/>
    </row>
    <row r="19" spans="1:7" ht="30" customHeight="1" x14ac:dyDescent="0.3">
      <c r="A19" s="11" t="s">
        <v>174</v>
      </c>
      <c r="B19" s="11"/>
      <c r="C19" s="11"/>
      <c r="D19" s="11"/>
      <c r="E19" s="11"/>
      <c r="F19" s="11"/>
      <c r="G19" s="11"/>
    </row>
    <row r="20" spans="1:7" ht="30" customHeight="1" x14ac:dyDescent="0.3">
      <c r="A20" s="12" t="s">
        <v>175</v>
      </c>
      <c r="B20" s="12"/>
      <c r="C20" s="12"/>
      <c r="D20" s="12"/>
      <c r="E20" s="12"/>
      <c r="F20" s="12"/>
      <c r="G20" s="12"/>
    </row>
  </sheetData>
  <mergeCells count="7">
    <mergeCell ref="A19:G19"/>
    <mergeCell ref="A20:G20"/>
    <mergeCell ref="A1:G1"/>
    <mergeCell ref="A15:G15"/>
    <mergeCell ref="A16:G16"/>
    <mergeCell ref="A17:G17"/>
    <mergeCell ref="A18:G18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E35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E1"/>
    </sheetView>
  </sheetViews>
  <sheetFormatPr defaultColWidth="8.6640625" defaultRowHeight="14.4" x14ac:dyDescent="0.3"/>
  <cols>
    <col min="1" max="1" width="28" customWidth="1"/>
    <col min="2" max="4" width="18" customWidth="1"/>
    <col min="5" max="5" width="28" customWidth="1"/>
  </cols>
  <sheetData>
    <row r="1" spans="1:5" ht="27.75" customHeight="1" x14ac:dyDescent="0.3">
      <c r="A1" s="14" t="s">
        <v>176</v>
      </c>
      <c r="B1" s="14"/>
      <c r="C1" s="14"/>
      <c r="D1" s="14"/>
      <c r="E1" s="14"/>
    </row>
    <row r="3" spans="1:5" x14ac:dyDescent="0.3">
      <c r="A3" s="16" t="s">
        <v>45</v>
      </c>
      <c r="B3" s="16" t="s">
        <v>3</v>
      </c>
      <c r="C3" s="16" t="s">
        <v>4</v>
      </c>
      <c r="D3" s="16" t="s">
        <v>177</v>
      </c>
      <c r="E3" s="16" t="s">
        <v>178</v>
      </c>
    </row>
    <row r="4" spans="1:5" ht="19.5" customHeight="1" x14ac:dyDescent="0.3">
      <c r="A4" s="10" t="s">
        <v>179</v>
      </c>
      <c r="B4" s="10"/>
      <c r="C4" s="10"/>
      <c r="D4" s="10"/>
      <c r="E4" s="10"/>
    </row>
    <row r="5" spans="1:5" ht="22.8" x14ac:dyDescent="0.3">
      <c r="A5" s="35" t="s">
        <v>180</v>
      </c>
      <c r="B5" s="62">
        <f>CALCULATIONS!C25</f>
        <v>2.106998021949487</v>
      </c>
      <c r="C5" s="36">
        <f>CALCULATIONS!D25</f>
        <v>1.7909544359132432</v>
      </c>
      <c r="D5" s="37">
        <f>B5-C5</f>
        <v>0.31604358603624383</v>
      </c>
      <c r="E5" s="38" t="s">
        <v>181</v>
      </c>
    </row>
    <row r="6" spans="1:5" ht="22.8" x14ac:dyDescent="0.3">
      <c r="A6" s="35" t="s">
        <v>182</v>
      </c>
      <c r="B6" s="53">
        <f>RAW_DATA!B34</f>
        <v>551768</v>
      </c>
      <c r="C6" s="44">
        <f>RAW_DATA!C34</f>
        <v>415428</v>
      </c>
      <c r="D6" s="45">
        <f>B6-C6</f>
        <v>136340</v>
      </c>
      <c r="E6" s="38" t="s">
        <v>183</v>
      </c>
    </row>
    <row r="7" spans="1:5" ht="22.8" x14ac:dyDescent="0.3">
      <c r="A7" s="35" t="s">
        <v>99</v>
      </c>
      <c r="B7" s="63">
        <f>CALCULATIONS!C26</f>
        <v>0.2289050213091488</v>
      </c>
      <c r="C7" s="46">
        <f>CALCULATIONS!D26</f>
        <v>0.21302394127211949</v>
      </c>
      <c r="D7" s="47">
        <f>B7-C7</f>
        <v>1.5881080037029316E-2</v>
      </c>
      <c r="E7" s="38" t="s">
        <v>184</v>
      </c>
    </row>
    <row r="8" spans="1:5" ht="22.8" x14ac:dyDescent="0.3">
      <c r="A8" s="35" t="s">
        <v>102</v>
      </c>
      <c r="B8" s="53">
        <f>RAW_DATA!B36</f>
        <v>346987</v>
      </c>
      <c r="C8" s="44">
        <f>RAW_DATA!C36</f>
        <v>282719</v>
      </c>
      <c r="D8" s="45">
        <f>B8-C8</f>
        <v>64268</v>
      </c>
      <c r="E8" s="38" t="s">
        <v>185</v>
      </c>
    </row>
    <row r="9" spans="1:5" ht="22.8" x14ac:dyDescent="0.3">
      <c r="A9" s="35" t="s">
        <v>132</v>
      </c>
      <c r="B9" s="53">
        <f>CALCULATIONS!C39</f>
        <v>190643</v>
      </c>
      <c r="C9" s="44"/>
      <c r="E9" s="38" t="s">
        <v>186</v>
      </c>
    </row>
    <row r="11" spans="1:5" ht="19.5" customHeight="1" x14ac:dyDescent="0.3">
      <c r="A11" s="9" t="s">
        <v>187</v>
      </c>
      <c r="B11" s="9"/>
      <c r="C11" s="9"/>
      <c r="D11" s="9"/>
      <c r="E11" s="9"/>
    </row>
    <row r="12" spans="1:5" x14ac:dyDescent="0.3">
      <c r="A12" s="35" t="s">
        <v>188</v>
      </c>
      <c r="B12" s="53">
        <f>RAW_DATA!B5</f>
        <v>2410467</v>
      </c>
      <c r="C12" s="44">
        <f>RAW_DATA!C5</f>
        <v>1950147</v>
      </c>
      <c r="D12" s="45">
        <f t="shared" ref="D12:D18" si="0">B12-C12</f>
        <v>460320</v>
      </c>
      <c r="E12" s="38" t="s">
        <v>137</v>
      </c>
    </row>
    <row r="13" spans="1:5" ht="22.8" x14ac:dyDescent="0.3">
      <c r="A13" s="31" t="s">
        <v>83</v>
      </c>
      <c r="B13" s="64">
        <f>CALCULATIONS!C19</f>
        <v>584495</v>
      </c>
      <c r="C13" s="58">
        <f>CALCULATIONS!D19</f>
        <v>499536</v>
      </c>
      <c r="D13" s="65">
        <f t="shared" si="0"/>
        <v>84959</v>
      </c>
      <c r="E13" s="34" t="s">
        <v>189</v>
      </c>
    </row>
    <row r="14" spans="1:5" ht="22.8" x14ac:dyDescent="0.3">
      <c r="A14" s="31" t="s">
        <v>86</v>
      </c>
      <c r="B14" s="66">
        <f>CALCULATIONS!C20</f>
        <v>0.24248205845589257</v>
      </c>
      <c r="C14" s="42">
        <f>CALCULATIONS!D20</f>
        <v>0.25615299769709671</v>
      </c>
      <c r="D14" s="43">
        <f t="shared" si="0"/>
        <v>-1.3670939241204133E-2</v>
      </c>
      <c r="E14" s="34" t="s">
        <v>190</v>
      </c>
    </row>
    <row r="15" spans="1:5" ht="22.8" x14ac:dyDescent="0.3">
      <c r="A15" s="27" t="s">
        <v>77</v>
      </c>
      <c r="B15" s="67">
        <f>CALCULATIONS!C17</f>
        <v>0.15876633034179685</v>
      </c>
      <c r="C15" s="51">
        <f>CALCULATIONS!D17</f>
        <v>0.17332590825204458</v>
      </c>
      <c r="D15" s="68">
        <f t="shared" si="0"/>
        <v>-1.4559577910247729E-2</v>
      </c>
      <c r="E15" s="30" t="s">
        <v>191</v>
      </c>
    </row>
    <row r="16" spans="1:5" ht="22.8" x14ac:dyDescent="0.3">
      <c r="A16" s="27" t="s">
        <v>74</v>
      </c>
      <c r="B16" s="67">
        <f>CALCULATIONS!C16</f>
        <v>0.1086403589014079</v>
      </c>
      <c r="C16" s="51">
        <f>CALCULATIONS!D16</f>
        <v>0.11894436675799311</v>
      </c>
      <c r="D16" s="68">
        <f t="shared" si="0"/>
        <v>-1.0304007856585209E-2</v>
      </c>
      <c r="E16" s="30" t="s">
        <v>192</v>
      </c>
    </row>
    <row r="17" spans="1:5" ht="22.8" x14ac:dyDescent="0.3">
      <c r="A17" s="35" t="s">
        <v>92</v>
      </c>
      <c r="B17" s="63">
        <f>CALCULATIONS!C22</f>
        <v>0.47857790318571908</v>
      </c>
      <c r="C17" s="46">
        <f>CALCULATIONS!D22</f>
        <v>0.53508543272302822</v>
      </c>
      <c r="D17" s="47">
        <f t="shared" si="0"/>
        <v>-5.6507529537309142E-2</v>
      </c>
      <c r="E17" s="38" t="s">
        <v>193</v>
      </c>
    </row>
    <row r="18" spans="1:5" ht="22.8" x14ac:dyDescent="0.3">
      <c r="A18" s="31" t="s">
        <v>89</v>
      </c>
      <c r="B18" s="66">
        <f>CALCULATIONS!C21</f>
        <v>0.1265374204291006</v>
      </c>
      <c r="C18" s="42">
        <f>CALCULATIONS!D21</f>
        <v>0.13501538690782813</v>
      </c>
      <c r="D18" s="43">
        <f t="shared" si="0"/>
        <v>-8.4779664787275333E-3</v>
      </c>
      <c r="E18" s="34" t="s">
        <v>194</v>
      </c>
    </row>
    <row r="20" spans="1:5" ht="19.5" customHeight="1" x14ac:dyDescent="0.3">
      <c r="A20" s="8" t="s">
        <v>195</v>
      </c>
      <c r="B20" s="8"/>
      <c r="C20" s="8"/>
      <c r="D20" s="8"/>
      <c r="E20" s="8"/>
    </row>
    <row r="21" spans="1:5" ht="22.8" x14ac:dyDescent="0.3">
      <c r="A21" s="27" t="s">
        <v>50</v>
      </c>
      <c r="B21" s="69">
        <f>CALCULATIONS!C5</f>
        <v>0.72753535676440462</v>
      </c>
      <c r="C21" s="28">
        <f>CALCULATIONS!D5</f>
        <v>0.82577812119651128</v>
      </c>
      <c r="D21" s="29">
        <f>B21-C21</f>
        <v>-9.8242764432106666E-2</v>
      </c>
      <c r="E21" s="30" t="s">
        <v>196</v>
      </c>
    </row>
    <row r="22" spans="1:5" ht="22.8" x14ac:dyDescent="0.3">
      <c r="A22" s="27" t="s">
        <v>56</v>
      </c>
      <c r="B22" s="69">
        <f>CALCULATIONS!C7</f>
        <v>3.6356245424389706E-2</v>
      </c>
      <c r="C22" s="28">
        <f>CALCULATIONS!D7</f>
        <v>0.10231353120312713</v>
      </c>
      <c r="D22" s="29">
        <f>B22-C22</f>
        <v>-6.5957285778737412E-2</v>
      </c>
      <c r="E22" s="30" t="s">
        <v>197</v>
      </c>
    </row>
    <row r="23" spans="1:5" ht="22.8" x14ac:dyDescent="0.3">
      <c r="A23" s="35" t="s">
        <v>112</v>
      </c>
      <c r="B23" s="53">
        <f>CALCULATIONS!C32</f>
        <v>39.109668375464175</v>
      </c>
      <c r="C23" s="44">
        <f>CALCULATIONS!D32</f>
        <v>41.691087902604266</v>
      </c>
      <c r="D23" s="45">
        <f>B23-C23</f>
        <v>-2.5814195271400919</v>
      </c>
      <c r="E23" s="38" t="s">
        <v>198</v>
      </c>
    </row>
    <row r="24" spans="1:5" ht="22.8" x14ac:dyDescent="0.3">
      <c r="A24" s="35" t="s">
        <v>121</v>
      </c>
      <c r="B24" s="53">
        <f>CALCULATIONS!C35</f>
        <v>27.269836817594889</v>
      </c>
      <c r="C24" s="44">
        <f>CALCULATIONS!D35</f>
        <v>29.352679041234552</v>
      </c>
      <c r="D24" s="45">
        <f>B24-C24</f>
        <v>-2.0828422236396626</v>
      </c>
      <c r="E24" s="38" t="s">
        <v>199</v>
      </c>
    </row>
    <row r="26" spans="1:5" ht="19.5" customHeight="1" x14ac:dyDescent="0.3">
      <c r="A26" s="7" t="s">
        <v>200</v>
      </c>
      <c r="B26" s="7"/>
      <c r="C26" s="7"/>
      <c r="D26" s="7"/>
      <c r="E26" s="7"/>
    </row>
    <row r="27" spans="1:5" ht="22.8" x14ac:dyDescent="0.3">
      <c r="A27" s="31" t="s">
        <v>60</v>
      </c>
      <c r="B27" s="70">
        <f>CALCULATIONS!C10</f>
        <v>2.7821057325399492</v>
      </c>
      <c r="C27" s="32">
        <f>CALCULATIONS!D10</f>
        <v>2.9631440902977864</v>
      </c>
      <c r="D27" s="33">
        <f>B27-C27</f>
        <v>-0.18103835775783716</v>
      </c>
      <c r="E27" s="34" t="s">
        <v>201</v>
      </c>
    </row>
    <row r="28" spans="1:5" ht="22.8" x14ac:dyDescent="0.3">
      <c r="A28" s="31" t="s">
        <v>63</v>
      </c>
      <c r="B28" s="70">
        <f>CALCULATIONS!C11</f>
        <v>0.73559702696930429</v>
      </c>
      <c r="C28" s="32">
        <f>CALCULATIONS!D11</f>
        <v>0.74767508391932802</v>
      </c>
      <c r="D28" s="33">
        <f>B28-C28</f>
        <v>-1.207805695002373E-2</v>
      </c>
      <c r="E28" s="34" t="s">
        <v>202</v>
      </c>
    </row>
    <row r="29" spans="1:5" ht="22.8" x14ac:dyDescent="0.3">
      <c r="A29" s="35" t="s">
        <v>66</v>
      </c>
      <c r="B29" s="62">
        <f>CALCULATIONS!C12</f>
        <v>5.557667731629393</v>
      </c>
      <c r="C29" s="36">
        <f>CALCULATIONS!D12</f>
        <v>5.8920808130109643</v>
      </c>
      <c r="D29" s="37">
        <f>B29-C29</f>
        <v>-0.33441308138157133</v>
      </c>
      <c r="E29" s="38" t="s">
        <v>203</v>
      </c>
    </row>
    <row r="30" spans="1:5" ht="22.8" x14ac:dyDescent="0.3">
      <c r="A30" s="31" t="s">
        <v>69</v>
      </c>
      <c r="B30" s="64">
        <f>CALCULATIONS!C13</f>
        <v>1062220</v>
      </c>
      <c r="C30" s="58"/>
      <c r="E30" s="34" t="s">
        <v>204</v>
      </c>
    </row>
    <row r="32" spans="1:5" ht="19.5" customHeight="1" x14ac:dyDescent="0.3">
      <c r="A32" s="6" t="s">
        <v>205</v>
      </c>
      <c r="B32" s="6"/>
      <c r="C32" s="6"/>
      <c r="D32" s="6"/>
      <c r="E32" s="6"/>
    </row>
    <row r="33" spans="1:5" ht="34.5" customHeight="1" x14ac:dyDescent="0.3">
      <c r="A33" s="12" t="s">
        <v>206</v>
      </c>
      <c r="B33" s="12"/>
      <c r="C33" s="12"/>
      <c r="D33" s="12"/>
      <c r="E33" s="12"/>
    </row>
    <row r="34" spans="1:5" ht="34.5" customHeight="1" x14ac:dyDescent="0.3">
      <c r="A34" s="11" t="s">
        <v>207</v>
      </c>
      <c r="B34" s="11"/>
      <c r="C34" s="11"/>
      <c r="D34" s="11"/>
      <c r="E34" s="11"/>
    </row>
    <row r="35" spans="1:5" ht="34.5" customHeight="1" x14ac:dyDescent="0.3">
      <c r="A35" s="12" t="s">
        <v>208</v>
      </c>
      <c r="B35" s="12"/>
      <c r="C35" s="12"/>
      <c r="D35" s="12"/>
      <c r="E35" s="12"/>
    </row>
  </sheetData>
  <mergeCells count="9">
    <mergeCell ref="A32:E32"/>
    <mergeCell ref="A33:E33"/>
    <mergeCell ref="A34:E34"/>
    <mergeCell ref="A35:E35"/>
    <mergeCell ref="A1:E1"/>
    <mergeCell ref="A4:E4"/>
    <mergeCell ref="A11:E11"/>
    <mergeCell ref="A20:E20"/>
    <mergeCell ref="A26:E2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E22"/>
  <sheetViews>
    <sheetView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D4" sqref="D4:D17"/>
    </sheetView>
  </sheetViews>
  <sheetFormatPr defaultColWidth="8.6640625" defaultRowHeight="14.4" x14ac:dyDescent="0.3"/>
  <cols>
    <col min="1" max="1" width="28" customWidth="1"/>
    <col min="2" max="3" width="14" customWidth="1"/>
    <col min="4" max="4" width="29.109375" bestFit="1" customWidth="1"/>
    <col min="5" max="5" width="34" customWidth="1"/>
  </cols>
  <sheetData>
    <row r="1" spans="1:5" ht="27.75" customHeight="1" x14ac:dyDescent="0.3">
      <c r="A1" s="14" t="s">
        <v>209</v>
      </c>
      <c r="B1" s="14"/>
      <c r="C1" s="14"/>
      <c r="D1" s="14"/>
      <c r="E1" s="14"/>
    </row>
    <row r="3" spans="1:5" x14ac:dyDescent="0.3">
      <c r="A3" s="16" t="s">
        <v>45</v>
      </c>
      <c r="B3" s="16" t="s">
        <v>210</v>
      </c>
      <c r="C3" s="16" t="s">
        <v>211</v>
      </c>
      <c r="D3" s="16" t="s">
        <v>212</v>
      </c>
      <c r="E3" s="16" t="s">
        <v>213</v>
      </c>
    </row>
    <row r="4" spans="1:5" ht="22.8" x14ac:dyDescent="0.3">
      <c r="A4" s="27" t="s">
        <v>50</v>
      </c>
      <c r="B4" s="28">
        <f>CALCULATIONS!C5</f>
        <v>0.72753535676440462</v>
      </c>
      <c r="C4" s="71" t="s">
        <v>214</v>
      </c>
      <c r="D4" s="90" t="str">
        <f>IF(CALCULATIONS!C5&lt;1,"🔴 ZAGROŻENIE",IF(CALCULATIONS!C5&lt;1.5,"🟡 UWAGA","🟢 OK"))</f>
        <v>🔴 ZAGROŻENIE</v>
      </c>
      <c r="E4" s="30" t="s">
        <v>215</v>
      </c>
    </row>
    <row r="5" spans="1:5" ht="22.8" x14ac:dyDescent="0.3">
      <c r="A5" s="27" t="s">
        <v>53</v>
      </c>
      <c r="B5" s="28">
        <f>CALCULATIONS!C6</f>
        <v>0.59189601450776796</v>
      </c>
      <c r="C5" s="71" t="s">
        <v>216</v>
      </c>
      <c r="D5" s="90" t="str">
        <f>IF(CALCULATIONS!C6&lt;0.5,"🔴 ZAGROŻENIE",IF(CALCULATIONS!C6&lt;1,"🟡 UWAGA","🟢 OK"))</f>
        <v>🟡 UWAGA</v>
      </c>
      <c r="E5" s="30" t="s">
        <v>217</v>
      </c>
    </row>
    <row r="6" spans="1:5" ht="22.8" x14ac:dyDescent="0.3">
      <c r="A6" s="27" t="s">
        <v>56</v>
      </c>
      <c r="B6" s="28">
        <f>CALCULATIONS!C7</f>
        <v>3.6356245424389706E-2</v>
      </c>
      <c r="C6" s="71" t="s">
        <v>218</v>
      </c>
      <c r="D6" s="90" t="str">
        <f>IF(CALCULATIONS!C7&lt;0.1,"🔴 ZAGROŻENIE",IF(CALCULATIONS!C7&lt;0.2,"🟡 UWAGA","🟢 OK"))</f>
        <v>🔴 ZAGROŻENIE</v>
      </c>
      <c r="E6" s="30" t="s">
        <v>219</v>
      </c>
    </row>
    <row r="7" spans="1:5" ht="22.8" x14ac:dyDescent="0.3">
      <c r="A7" s="35" t="s">
        <v>220</v>
      </c>
      <c r="B7" s="36">
        <f>CALCULATIONS!C25</f>
        <v>2.106998021949487</v>
      </c>
      <c r="C7" s="72" t="s">
        <v>216</v>
      </c>
      <c r="D7" s="91" t="str">
        <f>IF(CALCULATIONS!C25&gt;1.5,"🟢 BARDZO DOBRE",IF(CALCULATIONS!C25&gt;1,"🟢 OK","🔴 ZAGROŻENIE"))</f>
        <v>🟢 BARDZO DOBRE</v>
      </c>
      <c r="E7" s="38" t="s">
        <v>221</v>
      </c>
    </row>
    <row r="8" spans="1:5" ht="22.8" x14ac:dyDescent="0.3">
      <c r="A8" s="31" t="s">
        <v>60</v>
      </c>
      <c r="B8" s="32">
        <f>CALCULATIONS!C10</f>
        <v>2.7821057325399492</v>
      </c>
      <c r="C8" s="73" t="s">
        <v>222</v>
      </c>
      <c r="D8" s="92" t="str">
        <f>IF(CALCULATIONS!C10&gt;3,"🔴 ZAGROŻENIE",IF(CALCULATIONS!C10&gt;2,"🟡 UWAGA","🟢 OK"))</f>
        <v>🟡 UWAGA</v>
      </c>
      <c r="E8" s="34" t="s">
        <v>223</v>
      </c>
    </row>
    <row r="9" spans="1:5" x14ac:dyDescent="0.3">
      <c r="A9" s="35" t="s">
        <v>66</v>
      </c>
      <c r="B9" s="36">
        <f>CALCULATIONS!C12</f>
        <v>5.557667731629393</v>
      </c>
      <c r="C9" s="72" t="s">
        <v>224</v>
      </c>
      <c r="D9" s="91" t="str">
        <f>IF(CALCULATIONS!C12&lt;2,"🔴 ZAGROŻENIE",IF(CALCULATIONS!C12&lt;3,"🟡 UWAGA","🟢 OK"))</f>
        <v>🟢 OK</v>
      </c>
      <c r="E9" s="38" t="s">
        <v>225</v>
      </c>
    </row>
    <row r="10" spans="1:5" ht="22.8" x14ac:dyDescent="0.3">
      <c r="A10" s="31" t="s">
        <v>77</v>
      </c>
      <c r="B10" s="42">
        <f>CALCULATIONS!C17</f>
        <v>0.15876633034179685</v>
      </c>
      <c r="C10" s="73" t="s">
        <v>226</v>
      </c>
      <c r="D10" s="92" t="str">
        <f>IF(CALCULATIONS!C17&lt;CALCULATIONS!D17,"🟡 PRESJA KOSZTOWA","🟢 OK")</f>
        <v>🟡 PRESJA KOSZTOWA</v>
      </c>
      <c r="E10" s="34" t="s">
        <v>227</v>
      </c>
    </row>
    <row r="11" spans="1:5" x14ac:dyDescent="0.3">
      <c r="A11" s="31" t="s">
        <v>86</v>
      </c>
      <c r="B11" s="42">
        <f>CALCULATIONS!C20</f>
        <v>0.24248205845589257</v>
      </c>
      <c r="C11" s="73" t="s">
        <v>226</v>
      </c>
      <c r="D11" s="92" t="str">
        <f>IF(CALCULATIONS!C20&lt;CALCULATIONS!D20,"🟡 PRESJA KOSZTOWA","🟢 OK")</f>
        <v>🟡 PRESJA KOSZTOWA</v>
      </c>
      <c r="E11" s="34" t="s">
        <v>228</v>
      </c>
    </row>
    <row r="12" spans="1:5" x14ac:dyDescent="0.3">
      <c r="A12" s="31" t="s">
        <v>229</v>
      </c>
      <c r="B12" s="42">
        <f>CALCULATIONS!C16</f>
        <v>0.1086403589014079</v>
      </c>
      <c r="C12" s="73" t="s">
        <v>226</v>
      </c>
      <c r="D12" s="92" t="str">
        <f>IF(CALCULATIONS!C16&lt;CALCULATIONS!D16,"🟡 PRESJA KOSZTOWA","🟢 OK")</f>
        <v>🟡 PRESJA KOSZTOWA</v>
      </c>
      <c r="E12" s="34" t="s">
        <v>230</v>
      </c>
    </row>
    <row r="13" spans="1:5" x14ac:dyDescent="0.3">
      <c r="A13" s="35" t="s">
        <v>112</v>
      </c>
      <c r="B13" s="44">
        <f>CALCULATIONS!C32</f>
        <v>39.109668375464175</v>
      </c>
      <c r="C13" s="72" t="s">
        <v>231</v>
      </c>
      <c r="D13" s="91" t="str">
        <f>IF(CALCULATIONS!C32&gt;60,"🔴 ZAGROŻENIE",IF(CALCULATIONS!C32&gt;45,"🟡 UWAGA","🟢 OK"))</f>
        <v>🟢 OK</v>
      </c>
      <c r="E13" s="38" t="s">
        <v>232</v>
      </c>
    </row>
    <row r="14" spans="1:5" ht="22.8" x14ac:dyDescent="0.3">
      <c r="A14" s="35" t="s">
        <v>233</v>
      </c>
      <c r="B14" s="46">
        <f>CALCULATIONS!C42</f>
        <v>0.23604374439465334</v>
      </c>
      <c r="C14" s="72" t="s">
        <v>234</v>
      </c>
      <c r="D14" s="91" t="str">
        <f>IF(CALCULATIONS!C42&gt;0.1,"🟢 SILNY WZROST",IF(CALCULATIONS!C42&gt;0,"🟡 UMIARKOWANY","🔴 SPADEK"))</f>
        <v>🟢 SILNY WZROST</v>
      </c>
      <c r="E14" s="38" t="s">
        <v>235</v>
      </c>
    </row>
    <row r="15" spans="1:5" ht="22.8" x14ac:dyDescent="0.3">
      <c r="A15" s="27" t="s">
        <v>236</v>
      </c>
      <c r="B15" s="51">
        <f>IF(CALCULATIONS!C46&gt;CALCULATIONS!C42,CALCULATIONS!C46-CALCULATIONS!C42,0)</f>
        <v>1.1320274284658455E-2</v>
      </c>
      <c r="C15" s="71" t="s">
        <v>237</v>
      </c>
      <c r="D15" s="90" t="str">
        <f>IF(CALCULATIONS!C46&gt;CALCULATIONS!C42,"🔴 KOSZTY ROSNĄ SZYBCIEJ","🟢 POD KONTROLĄ")</f>
        <v>🔴 KOSZTY ROSNĄ SZYBCIEJ</v>
      </c>
      <c r="E15" s="30" t="s">
        <v>238</v>
      </c>
    </row>
    <row r="16" spans="1:5" ht="22.8" x14ac:dyDescent="0.3">
      <c r="A16" s="31" t="s">
        <v>239</v>
      </c>
      <c r="B16" s="42">
        <f>CALCULATIONS!C21</f>
        <v>0.1265374204291006</v>
      </c>
      <c r="C16" s="73" t="s">
        <v>240</v>
      </c>
      <c r="D16" s="92" t="str">
        <f>IF(CALCULATIONS!C21&lt;CALCULATIONS!D21,"🟡 MALEJĄCA EFEKTYWNOŚĆ","🟢 OK")</f>
        <v>🟡 MALEJĄCA EFEKTYWNOŚĆ</v>
      </c>
      <c r="E16" s="34" t="s">
        <v>241</v>
      </c>
    </row>
    <row r="17" spans="1:5" ht="22.8" x14ac:dyDescent="0.3">
      <c r="A17" s="35" t="s">
        <v>242</v>
      </c>
      <c r="B17" s="46">
        <f>CALCULATIONS!C26</f>
        <v>0.2289050213091488</v>
      </c>
      <c r="C17" s="72" t="s">
        <v>240</v>
      </c>
      <c r="D17" s="91" t="str">
        <f>IF(CALCULATIONS!C26&gt;CALCULATIONS!D26,"🟢 ROSNĄCA GOTÓWKOWOŚĆ","🟡 MONITOROWAĆ")</f>
        <v>🟢 ROSNĄCA GOTÓWKOWOŚĆ</v>
      </c>
      <c r="E17" s="38" t="s">
        <v>243</v>
      </c>
    </row>
    <row r="19" spans="1:5" ht="19.5" customHeight="1" x14ac:dyDescent="0.3">
      <c r="A19" s="13" t="s">
        <v>244</v>
      </c>
      <c r="B19" s="13"/>
      <c r="C19" s="13"/>
      <c r="D19" s="13"/>
      <c r="E19" s="13"/>
    </row>
    <row r="20" spans="1:5" x14ac:dyDescent="0.3">
      <c r="A20" s="5" t="s">
        <v>245</v>
      </c>
      <c r="B20" s="5"/>
      <c r="C20" s="5"/>
      <c r="D20" s="5"/>
      <c r="E20" s="5"/>
    </row>
    <row r="21" spans="1:5" x14ac:dyDescent="0.3">
      <c r="A21" s="4" t="s">
        <v>246</v>
      </c>
      <c r="B21" s="4"/>
      <c r="C21" s="4"/>
      <c r="D21" s="4"/>
      <c r="E21" s="4"/>
    </row>
    <row r="22" spans="1:5" x14ac:dyDescent="0.3">
      <c r="A22" s="3" t="s">
        <v>247</v>
      </c>
      <c r="B22" s="3"/>
      <c r="C22" s="3"/>
      <c r="D22" s="3"/>
      <c r="E22" s="3"/>
    </row>
  </sheetData>
  <mergeCells count="5">
    <mergeCell ref="A1:E1"/>
    <mergeCell ref="A19:E19"/>
    <mergeCell ref="A20:E20"/>
    <mergeCell ref="A21:E21"/>
    <mergeCell ref="A22:E22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7030A0"/>
  </sheetPr>
  <dimension ref="A1:H69"/>
  <sheetViews>
    <sheetView tabSelected="1" zoomScaleNormal="100" workbookViewId="0">
      <pane xSplit="1" ySplit="3" topLeftCell="B4" activePane="bottomRight" state="frozen"/>
      <selection pane="topRight" activeCell="B1" sqref="B1"/>
      <selection pane="bottomLeft" activeCell="A4" sqref="A4"/>
      <selection pane="bottomRight" sqref="A1:H1"/>
    </sheetView>
  </sheetViews>
  <sheetFormatPr defaultColWidth="8.6640625" defaultRowHeight="14.4" x14ac:dyDescent="0.3"/>
  <cols>
    <col min="1" max="1" width="32" customWidth="1"/>
    <col min="2" max="2" width="18" customWidth="1"/>
    <col min="3" max="8" width="14" customWidth="1"/>
  </cols>
  <sheetData>
    <row r="1" spans="1:8" ht="27.75" customHeight="1" x14ac:dyDescent="0.3">
      <c r="A1" s="14" t="s">
        <v>248</v>
      </c>
      <c r="B1" s="14"/>
      <c r="C1" s="14"/>
      <c r="D1" s="14"/>
      <c r="E1" s="14"/>
      <c r="F1" s="14"/>
      <c r="G1" s="14"/>
      <c r="H1" s="14"/>
    </row>
    <row r="2" spans="1:8" x14ac:dyDescent="0.3">
      <c r="A2" s="15" t="s">
        <v>249</v>
      </c>
    </row>
    <row r="4" spans="1:8" ht="19.5" customHeight="1" x14ac:dyDescent="0.3">
      <c r="A4" s="7" t="s">
        <v>250</v>
      </c>
      <c r="B4" s="7"/>
      <c r="C4" s="7"/>
      <c r="D4" s="7"/>
      <c r="E4" s="7"/>
      <c r="F4" s="7"/>
      <c r="G4" s="7"/>
      <c r="H4" s="7"/>
    </row>
    <row r="5" spans="1:8" x14ac:dyDescent="0.3">
      <c r="A5" s="16" t="s">
        <v>251</v>
      </c>
      <c r="B5" s="16" t="s">
        <v>252</v>
      </c>
    </row>
    <row r="6" spans="1:8" x14ac:dyDescent="0.3">
      <c r="A6" s="19" t="s">
        <v>253</v>
      </c>
      <c r="B6" s="74">
        <v>2025</v>
      </c>
    </row>
    <row r="7" spans="1:8" x14ac:dyDescent="0.3">
      <c r="A7" s="17" t="s">
        <v>254</v>
      </c>
      <c r="B7" s="18">
        <v>5</v>
      </c>
    </row>
    <row r="8" spans="1:8" x14ac:dyDescent="0.3">
      <c r="A8" s="19" t="s">
        <v>255</v>
      </c>
      <c r="B8" s="75">
        <v>8</v>
      </c>
    </row>
    <row r="9" spans="1:8" x14ac:dyDescent="0.3">
      <c r="A9" s="17" t="s">
        <v>256</v>
      </c>
      <c r="B9" s="76">
        <v>10</v>
      </c>
    </row>
    <row r="10" spans="1:8" x14ac:dyDescent="0.3">
      <c r="A10" s="19" t="s">
        <v>257</v>
      </c>
      <c r="B10" s="77">
        <v>0.1</v>
      </c>
    </row>
    <row r="11" spans="1:8" x14ac:dyDescent="0.3">
      <c r="A11" s="17" t="s">
        <v>258</v>
      </c>
      <c r="B11" s="78">
        <v>0.09</v>
      </c>
    </row>
    <row r="12" spans="1:8" x14ac:dyDescent="0.3">
      <c r="A12" s="19" t="s">
        <v>259</v>
      </c>
      <c r="B12" s="77">
        <v>0.26</v>
      </c>
    </row>
    <row r="13" spans="1:8" x14ac:dyDescent="0.3">
      <c r="A13" s="17" t="s">
        <v>260</v>
      </c>
      <c r="B13" s="78">
        <v>8.5000000000000006E-2</v>
      </c>
    </row>
    <row r="14" spans="1:8" x14ac:dyDescent="0.3">
      <c r="A14" s="19" t="s">
        <v>261</v>
      </c>
      <c r="B14" s="77">
        <v>0.01</v>
      </c>
    </row>
    <row r="15" spans="1:8" x14ac:dyDescent="0.3">
      <c r="A15" s="17" t="s">
        <v>262</v>
      </c>
      <c r="B15" s="78">
        <v>0.17399999999999999</v>
      </c>
    </row>
    <row r="16" spans="1:8" x14ac:dyDescent="0.3">
      <c r="A16" s="19" t="s">
        <v>263</v>
      </c>
      <c r="B16" s="20">
        <v>1062220</v>
      </c>
    </row>
    <row r="17" spans="1:8" x14ac:dyDescent="0.3">
      <c r="A17" s="17" t="s">
        <v>264</v>
      </c>
      <c r="B17" s="18">
        <v>50000</v>
      </c>
    </row>
    <row r="19" spans="1:8" ht="19.5" customHeight="1" x14ac:dyDescent="0.3">
      <c r="A19" s="7" t="s">
        <v>265</v>
      </c>
      <c r="B19" s="7"/>
      <c r="C19" s="7"/>
      <c r="D19" s="7"/>
      <c r="E19" s="7"/>
      <c r="F19" s="7"/>
      <c r="G19" s="7"/>
      <c r="H19" s="7"/>
    </row>
    <row r="20" spans="1:8" x14ac:dyDescent="0.3">
      <c r="A20" s="16" t="s">
        <v>266</v>
      </c>
      <c r="B20" s="16" t="s">
        <v>267</v>
      </c>
      <c r="C20" s="16" t="s">
        <v>268</v>
      </c>
      <c r="D20" s="16" t="s">
        <v>269</v>
      </c>
      <c r="E20" s="16" t="s">
        <v>270</v>
      </c>
      <c r="F20" s="16" t="s">
        <v>271</v>
      </c>
      <c r="G20" s="16" t="s">
        <v>272</v>
      </c>
      <c r="H20" s="16" t="s">
        <v>273</v>
      </c>
    </row>
    <row r="21" spans="1:8" ht="18" customHeight="1" x14ac:dyDescent="0.3">
      <c r="A21" s="21" t="s">
        <v>274</v>
      </c>
      <c r="B21" s="59">
        <f>RAW_DATA!B5</f>
        <v>2410467</v>
      </c>
      <c r="C21" s="22">
        <f>B21*(1+$B$10)</f>
        <v>2651513.7000000002</v>
      </c>
      <c r="D21" s="22">
        <f>C21*(1+$B$10)</f>
        <v>2916665.0700000003</v>
      </c>
      <c r="E21" s="22">
        <f>D21*(1+$B$10)</f>
        <v>3208331.5770000005</v>
      </c>
      <c r="F21" s="22">
        <f>E21*(1+$B$11)</f>
        <v>3497081.4189300006</v>
      </c>
      <c r="G21" s="22">
        <f>F21*(1+$B$11)</f>
        <v>3811818.746633701</v>
      </c>
      <c r="H21" s="60">
        <f>(G21/B21)^(1/$B$7)-1</f>
        <v>9.5989037701921909E-2</v>
      </c>
    </row>
    <row r="22" spans="1:8" ht="18" customHeight="1" x14ac:dyDescent="0.3">
      <c r="A22" s="79" t="s">
        <v>275</v>
      </c>
      <c r="B22" s="80">
        <f>RAW_DATA!B8+RAW_DATA!B18</f>
        <v>584495</v>
      </c>
      <c r="C22" s="81">
        <f>C21*$B$12</f>
        <v>689393.56200000003</v>
      </c>
      <c r="D22" s="81">
        <f>D21*$B$12</f>
        <v>758332.91820000007</v>
      </c>
      <c r="E22" s="81">
        <f>E21*$B$12</f>
        <v>834166.21002000012</v>
      </c>
      <c r="F22" s="81">
        <f>F21*$B$12</f>
        <v>909241.16892180021</v>
      </c>
      <c r="G22" s="81">
        <f>G21*$B$12</f>
        <v>991072.87412476225</v>
      </c>
      <c r="H22" s="82">
        <f>(G22/B22)^(1/$B$7)-1</f>
        <v>0.11138609240543307</v>
      </c>
    </row>
    <row r="23" spans="1:8" ht="18" customHeight="1" x14ac:dyDescent="0.3">
      <c r="A23" s="19" t="s">
        <v>276</v>
      </c>
      <c r="B23" s="49">
        <f t="shared" ref="B23:G23" si="0">B22/B21</f>
        <v>0.24248205845589257</v>
      </c>
      <c r="C23" s="49">
        <f t="shared" si="0"/>
        <v>0.26</v>
      </c>
      <c r="D23" s="49">
        <f t="shared" si="0"/>
        <v>0.26</v>
      </c>
      <c r="E23" s="49">
        <f t="shared" si="0"/>
        <v>0.26</v>
      </c>
      <c r="F23" s="49">
        <f t="shared" si="0"/>
        <v>0.26</v>
      </c>
      <c r="G23" s="49">
        <f t="shared" si="0"/>
        <v>0.26</v>
      </c>
    </row>
    <row r="24" spans="1:8" ht="18" customHeight="1" x14ac:dyDescent="0.3">
      <c r="A24" s="17" t="s">
        <v>277</v>
      </c>
      <c r="B24" s="55">
        <f>RAW_DATA!B18</f>
        <v>201794</v>
      </c>
      <c r="C24" s="24">
        <f>C21*0.0836</f>
        <v>221666.54532</v>
      </c>
      <c r="D24" s="24">
        <f>D21*0.0836</f>
        <v>243833.19985200002</v>
      </c>
      <c r="E24" s="24">
        <f>E21*0.0836</f>
        <v>268216.5198372</v>
      </c>
      <c r="F24" s="24">
        <f>F21*0.0836</f>
        <v>292356.00662254804</v>
      </c>
      <c r="G24" s="24">
        <f>G21*0.0836</f>
        <v>318668.04721857735</v>
      </c>
    </row>
    <row r="25" spans="1:8" ht="18" customHeight="1" x14ac:dyDescent="0.3">
      <c r="A25" s="21" t="s">
        <v>278</v>
      </c>
      <c r="B25" s="22">
        <f t="shared" ref="B25:G25" si="1">B22-B24</f>
        <v>382701</v>
      </c>
      <c r="C25" s="22">
        <f t="shared" si="1"/>
        <v>467727.01668</v>
      </c>
      <c r="D25" s="22">
        <f t="shared" si="1"/>
        <v>514499.71834800008</v>
      </c>
      <c r="E25" s="22">
        <f t="shared" si="1"/>
        <v>565949.69018280017</v>
      </c>
      <c r="F25" s="22">
        <f t="shared" si="1"/>
        <v>616885.16229925212</v>
      </c>
      <c r="G25" s="22">
        <f t="shared" si="1"/>
        <v>672404.8269061849</v>
      </c>
    </row>
    <row r="26" spans="1:8" ht="18" customHeight="1" x14ac:dyDescent="0.3">
      <c r="A26" s="19" t="s">
        <v>279</v>
      </c>
      <c r="B26" s="50">
        <f t="shared" ref="B26:G26" si="2">B25*$B$15</f>
        <v>66589.974000000002</v>
      </c>
      <c r="C26" s="50">
        <f t="shared" si="2"/>
        <v>81384.500902319996</v>
      </c>
      <c r="D26" s="50">
        <f t="shared" si="2"/>
        <v>89522.950992552011</v>
      </c>
      <c r="E26" s="50">
        <f t="shared" si="2"/>
        <v>98475.246091807217</v>
      </c>
      <c r="F26" s="50">
        <f t="shared" si="2"/>
        <v>107338.01824006985</v>
      </c>
      <c r="G26" s="50">
        <f t="shared" si="2"/>
        <v>116998.43988167617</v>
      </c>
    </row>
    <row r="27" spans="1:8" ht="18" customHeight="1" x14ac:dyDescent="0.3">
      <c r="A27" s="79" t="s">
        <v>280</v>
      </c>
      <c r="B27" s="81">
        <f t="shared" ref="B27:G27" si="3">B25-B26</f>
        <v>316111.02600000001</v>
      </c>
      <c r="C27" s="81">
        <f t="shared" si="3"/>
        <v>386342.51577767998</v>
      </c>
      <c r="D27" s="81">
        <f t="shared" si="3"/>
        <v>424976.7673554481</v>
      </c>
      <c r="E27" s="81">
        <f t="shared" si="3"/>
        <v>467474.44409099297</v>
      </c>
      <c r="F27" s="81">
        <f t="shared" si="3"/>
        <v>509547.14405918226</v>
      </c>
      <c r="G27" s="81">
        <f t="shared" si="3"/>
        <v>555406.38702450879</v>
      </c>
    </row>
    <row r="28" spans="1:8" ht="18" customHeight="1" x14ac:dyDescent="0.3"/>
    <row r="29" spans="1:8" ht="18" customHeight="1" x14ac:dyDescent="0.3">
      <c r="A29" s="10" t="s">
        <v>281</v>
      </c>
      <c r="B29" s="10"/>
      <c r="C29" s="10"/>
      <c r="D29" s="10"/>
      <c r="E29" s="10"/>
      <c r="F29" s="10"/>
      <c r="G29" s="10"/>
      <c r="H29" s="10"/>
    </row>
    <row r="30" spans="1:8" ht="18" customHeight="1" x14ac:dyDescent="0.3">
      <c r="A30" s="16" t="s">
        <v>266</v>
      </c>
      <c r="B30" s="16" t="s">
        <v>267</v>
      </c>
      <c r="C30" s="16" t="s">
        <v>268</v>
      </c>
      <c r="D30" s="16" t="s">
        <v>269</v>
      </c>
      <c r="E30" s="16" t="s">
        <v>270</v>
      </c>
      <c r="F30" s="16" t="s">
        <v>271</v>
      </c>
      <c r="G30" s="16" t="s">
        <v>272</v>
      </c>
      <c r="H30" s="16" t="s">
        <v>282</v>
      </c>
    </row>
    <row r="31" spans="1:8" ht="18" customHeight="1" x14ac:dyDescent="0.3">
      <c r="A31" s="19" t="s">
        <v>275</v>
      </c>
      <c r="B31" s="39">
        <f t="shared" ref="B31:G31" si="4">B22</f>
        <v>584495</v>
      </c>
      <c r="C31" s="39">
        <f t="shared" si="4"/>
        <v>689393.56200000003</v>
      </c>
      <c r="D31" s="39">
        <f t="shared" si="4"/>
        <v>758332.91820000007</v>
      </c>
      <c r="E31" s="39">
        <f t="shared" si="4"/>
        <v>834166.21002000012</v>
      </c>
      <c r="F31" s="39">
        <f t="shared" si="4"/>
        <v>909241.16892180021</v>
      </c>
      <c r="G31" s="39">
        <f t="shared" si="4"/>
        <v>991072.87412476225</v>
      </c>
    </row>
    <row r="32" spans="1:8" ht="18" customHeight="1" x14ac:dyDescent="0.3">
      <c r="A32" s="17" t="s">
        <v>283</v>
      </c>
      <c r="B32" s="55">
        <f>RAW_DATA!B35</f>
        <v>204781</v>
      </c>
      <c r="C32" s="24">
        <f>-C21*$B$13</f>
        <v>-225378.66450000004</v>
      </c>
      <c r="D32" s="24">
        <f>-D21*$B$13</f>
        <v>-247916.53095000004</v>
      </c>
      <c r="E32" s="24">
        <f>-E21*$B$13</f>
        <v>-272708.18404500006</v>
      </c>
      <c r="F32" s="24">
        <f>-F21*$B$13</f>
        <v>-297251.92060905008</v>
      </c>
      <c r="G32" s="24">
        <f>-G21*$B$13</f>
        <v>-324004.59346386458</v>
      </c>
    </row>
    <row r="33" spans="1:8" ht="18" customHeight="1" x14ac:dyDescent="0.3">
      <c r="A33" s="19" t="s">
        <v>284</v>
      </c>
      <c r="B33" s="83" t="s">
        <v>71</v>
      </c>
      <c r="C33" s="50">
        <f>-(C21-B21)*$B$14</f>
        <v>-2410.4670000000019</v>
      </c>
      <c r="D33" s="50">
        <f>-(D21-C21)*$B$14</f>
        <v>-2651.5137000000013</v>
      </c>
      <c r="E33" s="50">
        <f>-(E21-D21)*$B$14</f>
        <v>-2916.6650700000023</v>
      </c>
      <c r="F33" s="50">
        <f>-(F21-E21)*$B$14</f>
        <v>-2887.4984193000014</v>
      </c>
      <c r="G33" s="50">
        <f>-(G21-F21)*$B$14</f>
        <v>-3147.3732770370043</v>
      </c>
    </row>
    <row r="34" spans="1:8" ht="18" customHeight="1" x14ac:dyDescent="0.3">
      <c r="A34" s="17" t="s">
        <v>285</v>
      </c>
      <c r="B34" s="83" t="s">
        <v>71</v>
      </c>
      <c r="C34" s="24">
        <f>-C26</f>
        <v>-81384.500902319996</v>
      </c>
      <c r="D34" s="24">
        <f>-D26</f>
        <v>-89522.950992552011</v>
      </c>
      <c r="E34" s="24">
        <f>-E26</f>
        <v>-98475.246091807217</v>
      </c>
      <c r="F34" s="24">
        <f>-F26</f>
        <v>-107338.01824006985</v>
      </c>
      <c r="G34" s="24">
        <f>-G26</f>
        <v>-116998.43988167617</v>
      </c>
    </row>
    <row r="35" spans="1:8" ht="18" customHeight="1" x14ac:dyDescent="0.3">
      <c r="A35" s="21" t="s">
        <v>286</v>
      </c>
      <c r="B35" s="59">
        <f>RAW_DATA!B36</f>
        <v>346987</v>
      </c>
      <c r="C35" s="22">
        <f>C31+C32+C33+C34</f>
        <v>380219.92959767999</v>
      </c>
      <c r="D35" s="22">
        <f>D31+D32+D33+D34</f>
        <v>418241.92255744804</v>
      </c>
      <c r="E35" s="22">
        <f>E31+E32+E33+E34</f>
        <v>460066.11481319292</v>
      </c>
      <c r="F35" s="22">
        <f>F31+F32+F33+F34</f>
        <v>501763.73165338032</v>
      </c>
      <c r="G35" s="22">
        <f>G31+G32+G33+G34</f>
        <v>546922.46750218445</v>
      </c>
    </row>
    <row r="36" spans="1:8" ht="18" customHeight="1" x14ac:dyDescent="0.3">
      <c r="A36" s="19" t="s">
        <v>287</v>
      </c>
      <c r="B36" s="49">
        <f t="shared" ref="B36:G36" si="5">IF(B21=0,0,B35/B21)</f>
        <v>0.14395011423097681</v>
      </c>
      <c r="C36" s="49">
        <f t="shared" si="5"/>
        <v>0.14339730909090909</v>
      </c>
      <c r="D36" s="49">
        <f t="shared" si="5"/>
        <v>0.14339730909090909</v>
      </c>
      <c r="E36" s="49">
        <f t="shared" si="5"/>
        <v>0.14339730909090911</v>
      </c>
      <c r="F36" s="49">
        <f t="shared" si="5"/>
        <v>0.14348071192660553</v>
      </c>
      <c r="G36" s="49">
        <f t="shared" si="5"/>
        <v>0.1434807119266055</v>
      </c>
    </row>
    <row r="38" spans="1:8" ht="19.5" customHeight="1" x14ac:dyDescent="0.3">
      <c r="A38" s="7" t="s">
        <v>288</v>
      </c>
      <c r="B38" s="7"/>
      <c r="C38" s="7"/>
      <c r="D38" s="7"/>
      <c r="E38" s="7"/>
      <c r="F38" s="7"/>
      <c r="G38" s="7"/>
      <c r="H38" s="7"/>
    </row>
    <row r="39" spans="1:8" x14ac:dyDescent="0.3">
      <c r="A39" s="21" t="s">
        <v>289</v>
      </c>
    </row>
    <row r="40" spans="1:8" x14ac:dyDescent="0.3">
      <c r="A40" s="17" t="s">
        <v>290</v>
      </c>
      <c r="B40" s="55">
        <f>B22</f>
        <v>584495</v>
      </c>
    </row>
    <row r="41" spans="1:8" x14ac:dyDescent="0.3">
      <c r="A41" s="19" t="s">
        <v>291</v>
      </c>
      <c r="B41" s="84">
        <f>$B$8</f>
        <v>8</v>
      </c>
    </row>
    <row r="42" spans="1:8" x14ac:dyDescent="0.3">
      <c r="A42" s="21" t="s">
        <v>292</v>
      </c>
      <c r="B42" s="22">
        <f>B40*B41</f>
        <v>4675960</v>
      </c>
    </row>
    <row r="43" spans="1:8" x14ac:dyDescent="0.3">
      <c r="A43" s="17" t="s">
        <v>293</v>
      </c>
      <c r="B43" s="24">
        <f>$B$16</f>
        <v>1062220</v>
      </c>
    </row>
    <row r="44" spans="1:8" x14ac:dyDescent="0.3">
      <c r="A44" s="21" t="s">
        <v>294</v>
      </c>
      <c r="B44" s="22">
        <f>B42-B43</f>
        <v>3613740</v>
      </c>
    </row>
    <row r="46" spans="1:8" x14ac:dyDescent="0.3">
      <c r="A46" s="21" t="s">
        <v>295</v>
      </c>
    </row>
    <row r="47" spans="1:8" x14ac:dyDescent="0.3">
      <c r="A47" s="17" t="s">
        <v>296</v>
      </c>
      <c r="B47" s="55">
        <f>G22</f>
        <v>991072.87412476225</v>
      </c>
    </row>
    <row r="48" spans="1:8" x14ac:dyDescent="0.3">
      <c r="A48" s="19" t="s">
        <v>297</v>
      </c>
      <c r="B48" s="84">
        <f>$B$9</f>
        <v>10</v>
      </c>
    </row>
    <row r="49" spans="1:8" x14ac:dyDescent="0.3">
      <c r="A49" s="21" t="s">
        <v>298</v>
      </c>
      <c r="B49" s="22">
        <f>B47*B48</f>
        <v>9910728.7412476223</v>
      </c>
    </row>
    <row r="50" spans="1:8" x14ac:dyDescent="0.3">
      <c r="A50" s="17" t="s">
        <v>299</v>
      </c>
      <c r="B50" s="24">
        <f>MAX(0,$B$16-($B$17*$B$7))</f>
        <v>812220</v>
      </c>
    </row>
    <row r="51" spans="1:8" x14ac:dyDescent="0.3">
      <c r="A51" s="21" t="s">
        <v>300</v>
      </c>
      <c r="B51" s="22">
        <f>B49-B50</f>
        <v>9098508.7412476223</v>
      </c>
    </row>
    <row r="53" spans="1:8" ht="19.5" customHeight="1" x14ac:dyDescent="0.3">
      <c r="A53" s="6" t="s">
        <v>301</v>
      </c>
      <c r="B53" s="6"/>
      <c r="C53" s="6"/>
      <c r="D53" s="6"/>
      <c r="E53" s="6"/>
      <c r="F53" s="6"/>
      <c r="G53" s="6"/>
      <c r="H53" s="6"/>
    </row>
    <row r="54" spans="1:8" x14ac:dyDescent="0.3">
      <c r="A54" s="23" t="s">
        <v>302</v>
      </c>
      <c r="B54" s="85">
        <f>B44</f>
        <v>3613740</v>
      </c>
    </row>
    <row r="55" spans="1:8" x14ac:dyDescent="0.3">
      <c r="A55" s="79" t="s">
        <v>303</v>
      </c>
      <c r="B55" s="80">
        <f>B51</f>
        <v>9098508.7412476223</v>
      </c>
    </row>
    <row r="56" spans="1:8" x14ac:dyDescent="0.3">
      <c r="A56" s="21" t="s">
        <v>304</v>
      </c>
      <c r="B56" s="86">
        <f>IF(B54=0,0,B55/B54)</f>
        <v>2.5177541110449622</v>
      </c>
    </row>
    <row r="57" spans="1:8" x14ac:dyDescent="0.3">
      <c r="A57" s="21" t="s">
        <v>305</v>
      </c>
      <c r="B57" s="60">
        <f>IF(B54=0,0,(B55/B54)^(1/$B$7)-1)</f>
        <v>0.20282560011639283</v>
      </c>
    </row>
    <row r="59" spans="1:8" ht="19.5" customHeight="1" x14ac:dyDescent="0.3">
      <c r="A59" s="13" t="s">
        <v>306</v>
      </c>
      <c r="B59" s="13"/>
      <c r="C59" s="13"/>
      <c r="D59" s="13"/>
      <c r="E59" s="13"/>
      <c r="F59" s="13"/>
      <c r="G59" s="13"/>
      <c r="H59" s="13"/>
    </row>
    <row r="60" spans="1:8" x14ac:dyDescent="0.3">
      <c r="A60" s="2" t="s">
        <v>307</v>
      </c>
      <c r="B60" s="2"/>
      <c r="C60" s="2"/>
      <c r="D60" s="2"/>
      <c r="E60" s="2"/>
      <c r="F60" s="2"/>
      <c r="G60" s="2"/>
      <c r="H60" s="2"/>
    </row>
    <row r="61" spans="1:8" x14ac:dyDescent="0.3">
      <c r="A61" s="2" t="s">
        <v>308</v>
      </c>
      <c r="B61" s="2"/>
      <c r="C61" s="2"/>
      <c r="D61" s="2"/>
      <c r="E61" s="2"/>
      <c r="F61" s="2"/>
      <c r="G61" s="2"/>
      <c r="H61" s="2"/>
    </row>
    <row r="62" spans="1:8" x14ac:dyDescent="0.3">
      <c r="A62" s="1" t="s">
        <v>309</v>
      </c>
      <c r="B62" s="1"/>
      <c r="C62" s="1"/>
      <c r="D62" s="1"/>
      <c r="E62" s="1"/>
      <c r="F62" s="1"/>
      <c r="G62" s="1"/>
      <c r="H62" s="1"/>
    </row>
    <row r="63" spans="1:8" x14ac:dyDescent="0.3">
      <c r="A63" s="88" t="s">
        <v>310</v>
      </c>
      <c r="B63" s="88"/>
      <c r="C63" s="88"/>
      <c r="D63" s="88"/>
      <c r="E63" s="88"/>
      <c r="F63" s="88"/>
      <c r="G63" s="88"/>
      <c r="H63" s="88"/>
    </row>
    <row r="65" spans="1:8" ht="19.5" customHeight="1" x14ac:dyDescent="0.3">
      <c r="A65" s="89" t="s">
        <v>311</v>
      </c>
      <c r="B65" s="89"/>
      <c r="C65" s="89"/>
      <c r="D65" s="89"/>
      <c r="E65" s="89"/>
      <c r="F65" s="89"/>
      <c r="G65" s="89"/>
      <c r="H65" s="89"/>
    </row>
    <row r="66" spans="1:8" x14ac:dyDescent="0.3">
      <c r="A66" s="16" t="s">
        <v>312</v>
      </c>
      <c r="B66" s="16" t="s">
        <v>313</v>
      </c>
      <c r="C66" s="16" t="s">
        <v>314</v>
      </c>
    </row>
    <row r="67" spans="1:8" ht="45.6" x14ac:dyDescent="0.3">
      <c r="A67" s="30" t="s">
        <v>315</v>
      </c>
      <c r="B67" s="30" t="s">
        <v>316</v>
      </c>
      <c r="C67" s="30" t="s">
        <v>317</v>
      </c>
    </row>
    <row r="68" spans="1:8" ht="34.200000000000003" x14ac:dyDescent="0.3">
      <c r="A68" s="87" t="s">
        <v>318</v>
      </c>
      <c r="B68" s="87" t="s">
        <v>319</v>
      </c>
      <c r="C68" s="87" t="s">
        <v>320</v>
      </c>
    </row>
    <row r="69" spans="1:8" ht="45.6" x14ac:dyDescent="0.3">
      <c r="A69" s="38" t="s">
        <v>321</v>
      </c>
      <c r="B69" s="38" t="s">
        <v>322</v>
      </c>
      <c r="C69" s="38" t="s">
        <v>323</v>
      </c>
    </row>
  </sheetData>
  <mergeCells count="12">
    <mergeCell ref="A63:H63"/>
    <mergeCell ref="A65:H65"/>
    <mergeCell ref="A53:H53"/>
    <mergeCell ref="A59:H59"/>
    <mergeCell ref="A60:H60"/>
    <mergeCell ref="A61:H61"/>
    <mergeCell ref="A62:H62"/>
    <mergeCell ref="A1:H1"/>
    <mergeCell ref="A4:H4"/>
    <mergeCell ref="A19:H19"/>
    <mergeCell ref="A29:H29"/>
    <mergeCell ref="A38:H3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RAW_DATA</vt:lpstr>
      <vt:lpstr>CALCULATIONS</vt:lpstr>
      <vt:lpstr>COSTS_ANALYSIS</vt:lpstr>
      <vt:lpstr>DASHBOARD</vt:lpstr>
      <vt:lpstr>FLAGS</vt:lpstr>
      <vt:lpstr>PE_MODEL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Marcin Banach</cp:lastModifiedBy>
  <cp:revision>0</cp:revision>
  <dcterms:created xsi:type="dcterms:W3CDTF">2026-05-04T18:40:38Z</dcterms:created>
  <dcterms:modified xsi:type="dcterms:W3CDTF">2026-05-04T18:44:42Z</dcterms:modified>
  <dc:language>en-US</dc:language>
</cp:coreProperties>
</file>